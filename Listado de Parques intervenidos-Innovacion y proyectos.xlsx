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os del Director-ADN\Proyecto Estrategia de Datos-ADN-Bloomberg\Documentos de Inventarios de Datos del ADN\"/>
    </mc:Choice>
  </mc:AlternateContent>
  <xr:revisionPtr revIDLastSave="0" documentId="13_ncr:1_{4113C66D-98DE-407A-B3BF-173882AD5F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DO DEFINITIVO" sheetId="1" r:id="rId1"/>
  </sheets>
  <definedNames>
    <definedName name="_xlnm._FilterDatabase" localSheetId="0" hidden="1">'LISTADO DEFINITIVO'!$A$1:$BL$207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6" i="1" l="1"/>
  <c r="E217" i="1"/>
  <c r="E218" i="1"/>
  <c r="E215" i="1"/>
  <c r="D218" i="1"/>
  <c r="P2" i="1"/>
  <c r="P210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6" i="1"/>
  <c r="P207" i="1"/>
  <c r="P205" i="1"/>
  <c r="B2" i="1"/>
  <c r="M2" i="1"/>
  <c r="BB2" i="1"/>
  <c r="B3" i="1"/>
  <c r="BB3" i="1"/>
  <c r="B4" i="1"/>
  <c r="BB4" i="1"/>
  <c r="B5" i="1"/>
  <c r="BB5" i="1"/>
  <c r="B6" i="1"/>
  <c r="BB6" i="1"/>
  <c r="B7" i="1"/>
  <c r="BB7" i="1"/>
  <c r="B8" i="1"/>
  <c r="BB8" i="1"/>
  <c r="B9" i="1"/>
  <c r="BB9" i="1"/>
  <c r="B10" i="1"/>
  <c r="BB10" i="1"/>
  <c r="B11" i="1"/>
  <c r="BB11" i="1"/>
  <c r="B12" i="1"/>
  <c r="BB12" i="1"/>
  <c r="B13" i="1"/>
  <c r="BB13" i="1"/>
  <c r="B14" i="1"/>
  <c r="BB14" i="1"/>
  <c r="B15" i="1"/>
  <c r="BB15" i="1"/>
  <c r="B16" i="1"/>
  <c r="BB16" i="1"/>
  <c r="B17" i="1"/>
  <c r="BB17" i="1"/>
  <c r="B18" i="1"/>
  <c r="BB18" i="1"/>
  <c r="B19" i="1"/>
  <c r="BB19" i="1"/>
  <c r="B20" i="1"/>
  <c r="BB20" i="1"/>
  <c r="B21" i="1"/>
  <c r="BB21" i="1"/>
  <c r="B22" i="1"/>
  <c r="BB22" i="1"/>
  <c r="B23" i="1"/>
  <c r="BB23" i="1"/>
  <c r="B24" i="1"/>
  <c r="BB24" i="1"/>
  <c r="B25" i="1"/>
  <c r="BB25" i="1"/>
  <c r="B26" i="1"/>
  <c r="BB26" i="1"/>
  <c r="B27" i="1"/>
  <c r="BB27" i="1"/>
  <c r="B28" i="1"/>
  <c r="BB28" i="1"/>
  <c r="B29" i="1"/>
  <c r="BB29" i="1"/>
  <c r="B30" i="1"/>
  <c r="BB30" i="1"/>
  <c r="B31" i="1"/>
  <c r="BB31" i="1"/>
  <c r="B32" i="1"/>
  <c r="BB32" i="1"/>
  <c r="B33" i="1"/>
  <c r="BB33" i="1"/>
  <c r="B34" i="1"/>
  <c r="BB34" i="1"/>
  <c r="B35" i="1"/>
  <c r="BB35" i="1"/>
  <c r="B36" i="1"/>
  <c r="BB36" i="1"/>
  <c r="B37" i="1"/>
  <c r="BB37" i="1"/>
  <c r="B38" i="1"/>
  <c r="BB38" i="1"/>
  <c r="B39" i="1"/>
  <c r="BB39" i="1"/>
  <c r="B40" i="1"/>
  <c r="BB40" i="1"/>
  <c r="B41" i="1"/>
  <c r="BB41" i="1"/>
  <c r="B42" i="1"/>
  <c r="BB42" i="1"/>
  <c r="B43" i="1"/>
  <c r="BB43" i="1"/>
  <c r="B44" i="1"/>
  <c r="BB44" i="1"/>
  <c r="B45" i="1"/>
  <c r="BB45" i="1"/>
  <c r="B46" i="1"/>
  <c r="BB46" i="1"/>
  <c r="B47" i="1"/>
  <c r="BB47" i="1"/>
  <c r="B48" i="1"/>
  <c r="BB48" i="1"/>
  <c r="B49" i="1"/>
  <c r="BB49" i="1"/>
  <c r="B50" i="1"/>
  <c r="BB50" i="1"/>
  <c r="B51" i="1"/>
  <c r="BB51" i="1"/>
  <c r="B52" i="1"/>
  <c r="BB52" i="1"/>
  <c r="B53" i="1"/>
  <c r="BB53" i="1"/>
  <c r="B54" i="1"/>
  <c r="BB54" i="1"/>
  <c r="B55" i="1"/>
  <c r="BB55" i="1"/>
  <c r="B56" i="1"/>
  <c r="BB56" i="1"/>
  <c r="B57" i="1"/>
  <c r="BB57" i="1"/>
  <c r="B58" i="1"/>
  <c r="BB58" i="1"/>
  <c r="B59" i="1"/>
  <c r="BB59" i="1"/>
  <c r="B60" i="1"/>
  <c r="BB60" i="1"/>
  <c r="B61" i="1"/>
  <c r="BB61" i="1"/>
  <c r="B62" i="1"/>
  <c r="BB62" i="1"/>
  <c r="B63" i="1"/>
  <c r="BB63" i="1"/>
  <c r="B64" i="1"/>
  <c r="BB64" i="1"/>
  <c r="B65" i="1"/>
  <c r="BB65" i="1"/>
  <c r="B66" i="1"/>
  <c r="BB66" i="1"/>
  <c r="B67" i="1"/>
  <c r="BB67" i="1"/>
  <c r="B68" i="1"/>
  <c r="BB68" i="1"/>
  <c r="B69" i="1"/>
  <c r="BB69" i="1"/>
  <c r="B70" i="1"/>
  <c r="BB70" i="1"/>
  <c r="B71" i="1"/>
  <c r="BB71" i="1"/>
  <c r="B72" i="1"/>
  <c r="BB72" i="1"/>
  <c r="B73" i="1"/>
  <c r="BB73" i="1"/>
  <c r="B74" i="1"/>
  <c r="BB74" i="1"/>
  <c r="B75" i="1"/>
  <c r="BB75" i="1"/>
  <c r="B76" i="1"/>
  <c r="BB76" i="1"/>
  <c r="B77" i="1"/>
  <c r="BB77" i="1"/>
  <c r="B78" i="1"/>
  <c r="BB78" i="1"/>
  <c r="B79" i="1"/>
  <c r="BB79" i="1"/>
  <c r="B80" i="1"/>
  <c r="BB80" i="1"/>
  <c r="B81" i="1"/>
  <c r="BB81" i="1"/>
  <c r="B82" i="1"/>
  <c r="BB82" i="1"/>
  <c r="B83" i="1"/>
  <c r="BB83" i="1"/>
  <c r="B84" i="1"/>
  <c r="BB84" i="1"/>
  <c r="B85" i="1"/>
  <c r="BB85" i="1"/>
  <c r="B86" i="1"/>
  <c r="BB86" i="1"/>
  <c r="B87" i="1"/>
  <c r="BB87" i="1"/>
  <c r="B88" i="1"/>
  <c r="BB88" i="1"/>
  <c r="B89" i="1"/>
  <c r="BB89" i="1"/>
  <c r="B90" i="1"/>
  <c r="BB90" i="1"/>
  <c r="B91" i="1"/>
  <c r="BB91" i="1"/>
  <c r="B92" i="1"/>
  <c r="BB92" i="1"/>
  <c r="B93" i="1"/>
  <c r="BB93" i="1"/>
  <c r="B94" i="1"/>
  <c r="BB94" i="1"/>
  <c r="B95" i="1"/>
  <c r="BB95" i="1"/>
  <c r="B96" i="1"/>
  <c r="BB96" i="1"/>
  <c r="B97" i="1"/>
  <c r="BB97" i="1"/>
  <c r="B98" i="1"/>
  <c r="BB98" i="1"/>
  <c r="B99" i="1"/>
  <c r="BB99" i="1"/>
  <c r="B100" i="1"/>
  <c r="BB100" i="1"/>
  <c r="B101" i="1"/>
  <c r="BB101" i="1"/>
  <c r="B102" i="1"/>
  <c r="BB102" i="1"/>
  <c r="B103" i="1"/>
  <c r="BB103" i="1"/>
  <c r="B104" i="1"/>
  <c r="BB104" i="1"/>
  <c r="B105" i="1"/>
  <c r="BB105" i="1"/>
  <c r="B106" i="1"/>
  <c r="BB106" i="1"/>
  <c r="B107" i="1"/>
  <c r="BB107" i="1"/>
  <c r="B108" i="1"/>
  <c r="BB108" i="1"/>
  <c r="B109" i="1"/>
  <c r="BB109" i="1"/>
  <c r="B110" i="1"/>
  <c r="BB110" i="1"/>
  <c r="B111" i="1"/>
  <c r="BB111" i="1"/>
  <c r="B112" i="1"/>
  <c r="BB112" i="1"/>
  <c r="B113" i="1"/>
  <c r="BB113" i="1"/>
  <c r="B114" i="1"/>
  <c r="BB114" i="1"/>
  <c r="B115" i="1"/>
  <c r="BB115" i="1"/>
  <c r="B116" i="1"/>
  <c r="BB116" i="1"/>
  <c r="B117" i="1"/>
  <c r="BB117" i="1"/>
  <c r="B118" i="1"/>
  <c r="BB118" i="1"/>
  <c r="B119" i="1"/>
  <c r="BB119" i="1"/>
  <c r="B120" i="1"/>
  <c r="BB120" i="1"/>
  <c r="B121" i="1"/>
  <c r="BB121" i="1"/>
  <c r="B122" i="1"/>
  <c r="BB122" i="1"/>
  <c r="B123" i="1"/>
  <c r="BB123" i="1"/>
  <c r="B124" i="1"/>
  <c r="BB124" i="1"/>
  <c r="B125" i="1"/>
  <c r="BB125" i="1"/>
  <c r="B126" i="1"/>
  <c r="BB126" i="1"/>
  <c r="B127" i="1"/>
  <c r="BB127" i="1"/>
  <c r="B128" i="1"/>
  <c r="BB128" i="1"/>
  <c r="B129" i="1"/>
  <c r="BB129" i="1"/>
  <c r="B130" i="1"/>
  <c r="BB130" i="1"/>
  <c r="B131" i="1"/>
  <c r="BB131" i="1"/>
  <c r="B132" i="1"/>
  <c r="BB132" i="1"/>
  <c r="B133" i="1"/>
  <c r="BB133" i="1"/>
  <c r="B134" i="1"/>
  <c r="BB134" i="1"/>
  <c r="B135" i="1"/>
  <c r="BB135" i="1"/>
  <c r="B136" i="1"/>
  <c r="BB136" i="1"/>
  <c r="B137" i="1"/>
  <c r="BB137" i="1"/>
  <c r="B138" i="1"/>
  <c r="BB138" i="1"/>
  <c r="B139" i="1"/>
  <c r="BB139" i="1"/>
  <c r="B140" i="1"/>
  <c r="BB140" i="1"/>
  <c r="B141" i="1"/>
  <c r="BB141" i="1"/>
  <c r="B142" i="1"/>
  <c r="BB142" i="1"/>
  <c r="B143" i="1"/>
  <c r="BB143" i="1"/>
  <c r="B144" i="1"/>
  <c r="BB144" i="1"/>
  <c r="B145" i="1"/>
  <c r="BB145" i="1"/>
  <c r="B146" i="1"/>
  <c r="BB146" i="1"/>
  <c r="B147" i="1"/>
  <c r="BB147" i="1"/>
  <c r="B148" i="1"/>
  <c r="BB148" i="1"/>
  <c r="B149" i="1"/>
  <c r="BB149" i="1"/>
  <c r="B150" i="1"/>
  <c r="BB150" i="1"/>
  <c r="B151" i="1"/>
  <c r="BB151" i="1"/>
  <c r="B152" i="1"/>
  <c r="BB152" i="1"/>
  <c r="B153" i="1"/>
  <c r="BB153" i="1"/>
  <c r="B154" i="1"/>
  <c r="BB154" i="1"/>
  <c r="B155" i="1"/>
  <c r="BB155" i="1"/>
  <c r="B156" i="1"/>
  <c r="BB156" i="1"/>
  <c r="B157" i="1"/>
  <c r="BB157" i="1"/>
  <c r="B158" i="1"/>
  <c r="BB158" i="1"/>
  <c r="B159" i="1"/>
  <c r="BB159" i="1"/>
  <c r="B160" i="1"/>
  <c r="BB160" i="1"/>
  <c r="B161" i="1"/>
  <c r="BB161" i="1"/>
  <c r="B162" i="1"/>
  <c r="BB162" i="1"/>
  <c r="B163" i="1"/>
  <c r="BB163" i="1"/>
  <c r="B164" i="1"/>
  <c r="BB164" i="1"/>
  <c r="B165" i="1"/>
  <c r="BB165" i="1"/>
  <c r="B166" i="1"/>
  <c r="BB166" i="1"/>
  <c r="B167" i="1"/>
  <c r="BB167" i="1"/>
  <c r="B168" i="1"/>
  <c r="BB168" i="1"/>
  <c r="B169" i="1"/>
  <c r="BB169" i="1"/>
  <c r="B170" i="1"/>
  <c r="BB170" i="1"/>
  <c r="B171" i="1"/>
  <c r="BB171" i="1"/>
  <c r="B172" i="1"/>
  <c r="BB172" i="1"/>
  <c r="B173" i="1"/>
  <c r="BB173" i="1"/>
  <c r="B174" i="1"/>
  <c r="BB174" i="1"/>
  <c r="B175" i="1"/>
  <c r="BB175" i="1"/>
  <c r="B176" i="1"/>
  <c r="BB176" i="1"/>
  <c r="B177" i="1"/>
  <c r="BB177" i="1"/>
  <c r="B178" i="1"/>
  <c r="BB178" i="1"/>
  <c r="B179" i="1"/>
  <c r="BB179" i="1"/>
  <c r="B180" i="1"/>
  <c r="BB180" i="1"/>
  <c r="B181" i="1"/>
  <c r="BB181" i="1"/>
  <c r="B182" i="1"/>
  <c r="BB182" i="1"/>
  <c r="B183" i="1"/>
  <c r="BB183" i="1"/>
  <c r="B184" i="1"/>
  <c r="BB184" i="1"/>
  <c r="B185" i="1"/>
  <c r="BB185" i="1"/>
  <c r="B186" i="1"/>
  <c r="BB186" i="1"/>
  <c r="B187" i="1"/>
  <c r="BB187" i="1"/>
  <c r="B188" i="1"/>
  <c r="BB188" i="1"/>
  <c r="B189" i="1"/>
  <c r="BB189" i="1"/>
  <c r="B190" i="1"/>
  <c r="BB190" i="1"/>
  <c r="B191" i="1"/>
  <c r="BB191" i="1"/>
  <c r="B192" i="1"/>
  <c r="BB192" i="1"/>
  <c r="B193" i="1"/>
  <c r="BB193" i="1"/>
  <c r="B194" i="1"/>
  <c r="M194" i="1"/>
  <c r="BB194" i="1"/>
  <c r="B195" i="1"/>
  <c r="M195" i="1"/>
  <c r="BB195" i="1"/>
  <c r="B196" i="1"/>
  <c r="M196" i="1"/>
  <c r="BB196" i="1"/>
  <c r="B197" i="1"/>
  <c r="M197" i="1"/>
  <c r="BB197" i="1"/>
  <c r="B198" i="1"/>
  <c r="M198" i="1"/>
  <c r="BB198" i="1"/>
  <c r="B199" i="1"/>
  <c r="M199" i="1"/>
  <c r="BB199" i="1"/>
  <c r="B200" i="1"/>
  <c r="BB200" i="1"/>
  <c r="B201" i="1"/>
  <c r="BB201" i="1"/>
  <c r="B202" i="1"/>
  <c r="M202" i="1"/>
  <c r="BB202" i="1"/>
  <c r="B203" i="1"/>
  <c r="BB203" i="1"/>
  <c r="B204" i="1"/>
  <c r="BB204" i="1"/>
  <c r="B205" i="1"/>
  <c r="BB205" i="1"/>
  <c r="B206" i="1"/>
  <c r="BB206" i="1"/>
  <c r="B207" i="1"/>
  <c r="BB207" i="1"/>
</calcChain>
</file>

<file path=xl/sharedStrings.xml><?xml version="1.0" encoding="utf-8"?>
<sst xmlns="http://schemas.openxmlformats.org/spreadsheetml/2006/main" count="2560" uniqueCount="1203">
  <si>
    <t>Optima condiciones</t>
  </si>
  <si>
    <t>Nuevo</t>
  </si>
  <si>
    <t>DICIEMBRE</t>
  </si>
  <si>
    <t>PLAZA</t>
  </si>
  <si>
    <t>PUERTO ISABELA</t>
  </si>
  <si>
    <t>https://maps.app.goo.gl/WUxDpXpQzrDLGoVB9</t>
  </si>
  <si>
    <t>CALLE GUAYACAN</t>
  </si>
  <si>
    <t>PLAZA PUERTO ISABELA I</t>
  </si>
  <si>
    <t>ZONA 39</t>
  </si>
  <si>
    <t>C2</t>
  </si>
  <si>
    <t>PARQUE</t>
  </si>
  <si>
    <t>https://maps.app.goo.gl/Ymo8aPenrmPBqtM58</t>
  </si>
  <si>
    <t>CALLE CAIMITO</t>
  </si>
  <si>
    <t>PARQUE PUERTO ISABELA I</t>
  </si>
  <si>
    <t>SAN GERONIMO</t>
  </si>
  <si>
    <t>https://maps.app.goo.gl/BYG81c6f8irECguW7</t>
  </si>
  <si>
    <t>CALLE  C OESTE ESQ C TIMOTEO OGANDO</t>
  </si>
  <si>
    <t>PARQUE SAN GERÓNIMO</t>
  </si>
  <si>
    <t>ZONA 03</t>
  </si>
  <si>
    <t>C1</t>
  </si>
  <si>
    <t>NOVIEMBRE</t>
  </si>
  <si>
    <t>CACICAZGOS</t>
  </si>
  <si>
    <t>https://maps.app.goo.gl/haZbZszkLWFA7S5eA</t>
  </si>
  <si>
    <t xml:space="preserve">CALLE CIBAO OESTE </t>
  </si>
  <si>
    <t>PARQUE TAINO</t>
  </si>
  <si>
    <t>ZONA 05</t>
  </si>
  <si>
    <t>OCTUBRE</t>
  </si>
  <si>
    <t>ARROYO HONDO</t>
  </si>
  <si>
    <t>-69.9680245</t>
  </si>
  <si>
    <t>https://maps.app.goo.gl/vmkqmj4sEBLwGuc17</t>
  </si>
  <si>
    <t>CALLE ISABEL DE TORRES</t>
  </si>
  <si>
    <t>PARQUE LA GLORIETA</t>
  </si>
  <si>
    <t>ZONA 01</t>
  </si>
  <si>
    <t>SEPTIEMBRE</t>
  </si>
  <si>
    <t>191,38</t>
  </si>
  <si>
    <t>2491,11</t>
  </si>
  <si>
    <t>FUNDACION</t>
  </si>
  <si>
    <t>-69.9694383</t>
  </si>
  <si>
    <t>https://maps.app.goo.gl/nnqmvSBW8fZe8LmEA</t>
  </si>
  <si>
    <t>CALLE FUNDACION</t>
  </si>
  <si>
    <t>CENTRO CULTURAL DIONICIO AMPARO</t>
  </si>
  <si>
    <t>ZONA 32</t>
  </si>
  <si>
    <t>OFELIA</t>
  </si>
  <si>
    <t>-69.9622554</t>
  </si>
  <si>
    <t>https://maps.app.goo.gl/17x7U8bsTQubzm5a9</t>
  </si>
  <si>
    <t>CALLE OFELIA</t>
  </si>
  <si>
    <t xml:space="preserve">PARQUE OFELIA </t>
  </si>
  <si>
    <t>ZONA 06</t>
  </si>
  <si>
    <t>Renovado</t>
  </si>
  <si>
    <t>SEGUNDA ETAPA</t>
  </si>
  <si>
    <t>AGOSTO</t>
  </si>
  <si>
    <t>30 DE MAYO</t>
  </si>
  <si>
    <t>-69.936795</t>
  </si>
  <si>
    <t>18.439085</t>
  </si>
  <si>
    <t>https://maps.app.goo.gl/TQzJPjogHNmBPNSh8</t>
  </si>
  <si>
    <t>CALLE CENTRAL ESQ ERCILIO MONTERO</t>
  </si>
  <si>
    <t xml:space="preserve">PARQUE 30 DE MAYO </t>
  </si>
  <si>
    <t>JULIO</t>
  </si>
  <si>
    <t>Area Verde- recuperada</t>
  </si>
  <si>
    <t>MATA HAMBRE</t>
  </si>
  <si>
    <t>,-69.9270895</t>
  </si>
  <si>
    <t>18.4554975</t>
  </si>
  <si>
    <t>https://maps.app.goo.gl/AyRiBFSKcarQeYAn8</t>
  </si>
  <si>
    <t>CALLE  PRIMERA</t>
  </si>
  <si>
    <t>PARQUE LINEAL MATA HAMBRE</t>
  </si>
  <si>
    <t>LOS CACICASGOS</t>
  </si>
  <si>
    <t>-69.9780886</t>
  </si>
  <si>
    <t>18.4374893</t>
  </si>
  <si>
    <t>https://maps.app.goo.gl/6AZkQAXhKSUCkg957</t>
  </si>
  <si>
    <t>CALLE CAMINI</t>
  </si>
  <si>
    <t>PARQUE AREITO</t>
  </si>
  <si>
    <t>JUNIO</t>
  </si>
  <si>
    <t>REPARTO UNIVERSITARIO(COPLAN II)</t>
  </si>
  <si>
    <t>-69.943835</t>
  </si>
  <si>
    <t>18.4922383</t>
  </si>
  <si>
    <t>https://maps.app.goo.gl/fT2DC4RDFjx2zXzw9</t>
  </si>
  <si>
    <t>C/2DA</t>
  </si>
  <si>
    <t>PARQUE RIVERAS DE LAS PALMAS</t>
  </si>
  <si>
    <t>ZONA 02</t>
  </si>
  <si>
    <t>MAYO</t>
  </si>
  <si>
    <t>RENACIMIENTO</t>
  </si>
  <si>
    <t>-69.9721387</t>
  </si>
  <si>
    <t>18.4473903</t>
  </si>
  <si>
    <t>https://maps.app.goo.gl/Wss853HL8pEV7JgY6</t>
  </si>
  <si>
    <t>C/SAN PIO</t>
  </si>
  <si>
    <t>AREA RECUPERADA RENACIMIENTOII</t>
  </si>
  <si>
    <t>Parque</t>
  </si>
  <si>
    <t>919.17</t>
  </si>
  <si>
    <t>-69.9734543</t>
  </si>
  <si>
    <t>18.4487866</t>
  </si>
  <si>
    <t>https://maps.app.goo.gl/veqxHXLe1Z9sBD567</t>
  </si>
  <si>
    <t>C/PLAZA ESQ C/SAN PIO</t>
  </si>
  <si>
    <t>PARQUE RENACIMIENTO II</t>
  </si>
  <si>
    <t>ABRIL</t>
  </si>
  <si>
    <t>LA YAGUITA</t>
  </si>
  <si>
    <t>-69.9644358</t>
  </si>
  <si>
    <t>18.482787</t>
  </si>
  <si>
    <t>https://maps.app.goo.gl/rtDa2K7nfB7B22gu8</t>
  </si>
  <si>
    <t>C/1ERA</t>
  </si>
  <si>
    <t>PARQUE LINEAL LA YAGUITA</t>
  </si>
  <si>
    <t>-69.9608297</t>
  </si>
  <si>
    <t>18.4343913</t>
  </si>
  <si>
    <t>https://maps.app.goo.gl/6gLSGr9BHRk8Yoq9A</t>
  </si>
  <si>
    <t>AREA RECUPERA ENTRADA OFELIA</t>
  </si>
  <si>
    <t>MARZO</t>
  </si>
  <si>
    <t>LA JULIA</t>
  </si>
  <si>
    <t>-69.925092</t>
  </si>
  <si>
    <t>18.4606933</t>
  </si>
  <si>
    <t>https://maps.app.goo.gl/zpVJ8QQLvEKhjpiY8</t>
  </si>
  <si>
    <t>C/ROMA</t>
  </si>
  <si>
    <t>PARQUE ROMA</t>
  </si>
  <si>
    <t>ZONA 07</t>
  </si>
  <si>
    <t>VILLA CONSUELO</t>
  </si>
  <si>
    <t>-69.8999647</t>
  </si>
  <si>
    <t>18.4928253</t>
  </si>
  <si>
    <t>https://maps.app.goo.gl/rjFcLyFgvtNbvrXVA</t>
  </si>
  <si>
    <t>EXPRESO 5TO CENTENARIO</t>
  </si>
  <si>
    <t>AREA RECUPERA RAMON CACERES</t>
  </si>
  <si>
    <t>ZONA 10</t>
  </si>
  <si>
    <t>C3</t>
  </si>
  <si>
    <t>-69.9014822</t>
  </si>
  <si>
    <t>18.4914877</t>
  </si>
  <si>
    <t>https://maps.app.goo.gl/VPUu4HYNXzDYN11J9</t>
  </si>
  <si>
    <t>PUENTE HERMANO PINZON ESQ EXPRESSO 5TO CENTENARIO</t>
  </si>
  <si>
    <t xml:space="preserve">PARQUE CAONABO BEATO </t>
  </si>
  <si>
    <t>CENTRO DE LOS HEROES</t>
  </si>
  <si>
    <t>-69.9241549</t>
  </si>
  <si>
    <t>18.4519021</t>
  </si>
  <si>
    <t>https://maps.app.goo.gl/nL4YUyVThgXyUDUb9</t>
  </si>
  <si>
    <t xml:space="preserve">AVE. GEORGE WASHINGTON </t>
  </si>
  <si>
    <t>PLAZA DE SANTO DOMINGO</t>
  </si>
  <si>
    <t>VILLA FRANCISCA</t>
  </si>
  <si>
    <t>-69.8895851</t>
  </si>
  <si>
    <t>18.4783841</t>
  </si>
  <si>
    <t>https://maps.app.goo.gl/BtoeoWc44t6ZVwRTA</t>
  </si>
  <si>
    <t>AVE MEXICO</t>
  </si>
  <si>
    <t>PARQUE CONFUSIO</t>
  </si>
  <si>
    <t>ZONA 09</t>
  </si>
  <si>
    <t>-69.8893297</t>
  </si>
  <si>
    <t>18.4791733</t>
  </si>
  <si>
    <t>https://maps.app.goo.gl/eDWfzFVixkEpJTnj8</t>
  </si>
  <si>
    <t>CALLE DUARTE</t>
  </si>
  <si>
    <t>PARQUE  BARRIO CHINO</t>
  </si>
  <si>
    <t>Remozado</t>
  </si>
  <si>
    <t>ENERO</t>
  </si>
  <si>
    <t>CARMELITA</t>
  </si>
  <si>
    <t>-69.9532137</t>
  </si>
  <si>
    <t>18.4767423</t>
  </si>
  <si>
    <t>https://maps.app.goo.gl/oUPNW39Wix1FXBBy7</t>
  </si>
  <si>
    <t>AVE. CHARLES SUMMER</t>
  </si>
  <si>
    <t>AREA RECUPERADA CHARLES SUMMER</t>
  </si>
  <si>
    <t>LOS PROCERES</t>
  </si>
  <si>
    <t>-69.9432285</t>
  </si>
  <si>
    <t>18.4849992</t>
  </si>
  <si>
    <t>https://maps.app.goo.gl/dEAKQwMhGRFrjRoY9</t>
  </si>
  <si>
    <t>AV. LOS PROCERES ESQ J F KENNEDY</t>
  </si>
  <si>
    <t>PARQUE AMBIENTAL LOS PROCERES</t>
  </si>
  <si>
    <t>-69.9267893</t>
  </si>
  <si>
    <t>18.4462482</t>
  </si>
  <si>
    <t>https://maps.app.goo.gl/hfn6vEfzNf3zVpu69</t>
  </si>
  <si>
    <t>PARQUE PASEO DE LOS HEROES</t>
  </si>
  <si>
    <t>-69.9858327</t>
  </si>
  <si>
    <t>18.4936207</t>
  </si>
  <si>
    <t>https://maps.app.goo.gl/7qHg17CsLmQeyzad6</t>
  </si>
  <si>
    <t>CALLE EL BAMBU</t>
  </si>
  <si>
    <t>PARQUE LOS BAMBU</t>
  </si>
  <si>
    <t>URBANIZACION AESA</t>
  </si>
  <si>
    <t>-69.9851586</t>
  </si>
  <si>
    <t>18.4260674</t>
  </si>
  <si>
    <t>https://maps.app.goo.gl/TkkQck71ov2Cfkgn6</t>
  </si>
  <si>
    <t>C/ 2DA ESQ C/1ERA</t>
  </si>
  <si>
    <t>PARQUE AESA</t>
  </si>
  <si>
    <t>JARDINES DEL NORTE</t>
  </si>
  <si>
    <t>-69.9557959</t>
  </si>
  <si>
    <t>18.4850868</t>
  </si>
  <si>
    <t>https://maps.app.goo.gl/wgJFtThhjR7FW8at8</t>
  </si>
  <si>
    <t>C/JARDINES DE LOS CEREZOS ESQ C/BEGONIA</t>
  </si>
  <si>
    <t>PARQUE JARDINES DE LOS CEREZOS</t>
  </si>
  <si>
    <t>744.2</t>
  </si>
  <si>
    <t>BUENOS AIRES MIRADOR</t>
  </si>
  <si>
    <t>-69.9739777</t>
  </si>
  <si>
    <t>18.4338744</t>
  </si>
  <si>
    <t>https://maps.app.goo.gl/tHY8itjz5jJbiB2a8</t>
  </si>
  <si>
    <t>C/CEFIRO  ESQ C/VIENTO MISTRAL</t>
  </si>
  <si>
    <t>PARQUE BUENOS AIRES DEL MIRADOR</t>
  </si>
  <si>
    <t>RESTAURADORES</t>
  </si>
  <si>
    <t>-69.9719785</t>
  </si>
  <si>
    <t>18.4529876</t>
  </si>
  <si>
    <t>https://maps.app.goo.gl/RHrd6NQM4bFq13NEA</t>
  </si>
  <si>
    <t>CALLE BELISARIO CURIEL</t>
  </si>
  <si>
    <t>PARQUE BELISARIO CURIEL</t>
  </si>
  <si>
    <t>49.6</t>
  </si>
  <si>
    <t>Plaza</t>
  </si>
  <si>
    <t>3O DE MAYO</t>
  </si>
  <si>
    <t>-69.9418462</t>
  </si>
  <si>
    <t>18.4366149</t>
  </si>
  <si>
    <t>https://maps.app.goo.gl/HQhV2ts9AWeCUtc29</t>
  </si>
  <si>
    <t>PLAZA REPUBLICA DE GUATEMALA</t>
  </si>
  <si>
    <t>MIRADOR SUR</t>
  </si>
  <si>
    <t>-69.9565883</t>
  </si>
  <si>
    <t>18.4476707</t>
  </si>
  <si>
    <t>https://maps.app.goo.gl/cjTGLUmeN3uyWNQa9</t>
  </si>
  <si>
    <t xml:space="preserve">AVE. SARASOTA </t>
  </si>
  <si>
    <t>PARQUE LUISA OZEMA PELLERANO(LOS DELFINES)</t>
  </si>
  <si>
    <t>LOS RIOS</t>
  </si>
  <si>
    <t>-69.9678337</t>
  </si>
  <si>
    <t>18.4905427</t>
  </si>
  <si>
    <t>https://maps.app.goo.gl/PSgUVUXn2tzgZB6Z9</t>
  </si>
  <si>
    <t>CALLE VIA ESQ CALLE MAJAGUAL</t>
  </si>
  <si>
    <t>MAJAGUAL AREA VERDE</t>
  </si>
  <si>
    <t>-69.9688773</t>
  </si>
  <si>
    <t>18.4889671</t>
  </si>
  <si>
    <t>https://maps.app.goo.gl/3356AForeebFwtP96</t>
  </si>
  <si>
    <t xml:space="preserve">CALLE VIA </t>
  </si>
  <si>
    <t>PARQUE VIA</t>
  </si>
  <si>
    <t>GAZCUE</t>
  </si>
  <si>
    <t>-69.911814</t>
  </si>
  <si>
    <t>18.473150</t>
  </si>
  <si>
    <t>https://maps.app.goo.gl/Akjev5jG9KvRpi4B9</t>
  </si>
  <si>
    <t>AVE MAXIMO GOMEZ ESQ AVE MEXICO</t>
  </si>
  <si>
    <t>PLAZA DE LA POESIA</t>
  </si>
  <si>
    <t>ZONA 08</t>
  </si>
  <si>
    <t>-69.9714533</t>
  </si>
  <si>
    <t>18.4865649</t>
  </si>
  <si>
    <t>https://maps.app.goo.gl/zyadecLLMqAso54Z9</t>
  </si>
  <si>
    <t>AVE. CORONEL LORA FERNANDEZ ESQ GUAYUBIN</t>
  </si>
  <si>
    <t>PARQUE LA GUAYUBIN</t>
  </si>
  <si>
    <t>148.5</t>
  </si>
  <si>
    <t>-69.9258874</t>
  </si>
  <si>
    <t>18.447674</t>
  </si>
  <si>
    <t>https://maps.app.goo.gl/1N5zgeGWMN7AgWkj7</t>
  </si>
  <si>
    <t>PLAZA REPUBLICA DEL PERU</t>
  </si>
  <si>
    <t>MIRAMAR</t>
  </si>
  <si>
    <t>-69.9586845</t>
  </si>
  <si>
    <t>18.4329687</t>
  </si>
  <si>
    <t>https://maps.app.goo.gl/mEJhQcEGohH9FjDX8</t>
  </si>
  <si>
    <t>CALLES LAS DOMADORAS ESQ RESPALDO LOS CORALES</t>
  </si>
  <si>
    <t>PARQUES LOS CORALES</t>
  </si>
  <si>
    <t>239.6</t>
  </si>
  <si>
    <t>COSTA CARIBE</t>
  </si>
  <si>
    <t>-69.9674263</t>
  </si>
  <si>
    <t>18.4310264</t>
  </si>
  <si>
    <t>https://maps.app.goo.gl/EbGJeJn43xXs6Hf87</t>
  </si>
  <si>
    <t>CALLE VASCO NUÑEZ</t>
  </si>
  <si>
    <t>PARQUE VASCO NUÑEZ DE BALBOA</t>
  </si>
  <si>
    <t>GALA</t>
  </si>
  <si>
    <t>-69.9631611</t>
  </si>
  <si>
    <t>18.4853963</t>
  </si>
  <si>
    <t>https://maps.app.goo.gl/Nezs17VyB2cXNTcy6</t>
  </si>
  <si>
    <t>AVE JARDINEZ DE FONTABLEU</t>
  </si>
  <si>
    <t>PARQUE BELICE</t>
  </si>
  <si>
    <t>ZONA01</t>
  </si>
  <si>
    <t>475.72</t>
  </si>
  <si>
    <t>NUESTRA SEÑORA DE LA PAZ</t>
  </si>
  <si>
    <t>-69.9366613</t>
  </si>
  <si>
    <t>18.452012</t>
  </si>
  <si>
    <t>https://maps.app.goo.gl/HmV3spBw64dk6B846</t>
  </si>
  <si>
    <t>AVE. CAYETANO GERMONSEN</t>
  </si>
  <si>
    <t>FARALLONES DE LA PAZ</t>
  </si>
  <si>
    <t>128.10</t>
  </si>
  <si>
    <t>PARQUE DE LA PAZ</t>
  </si>
  <si>
    <t>ALFIMAR</t>
  </si>
  <si>
    <t>-69.9591783</t>
  </si>
  <si>
    <t>18.4379972</t>
  </si>
  <si>
    <t>https://maps.app.goo.gl/2wTSHs8GMxggbhCa8</t>
  </si>
  <si>
    <t>CALLE CENTRAL</t>
  </si>
  <si>
    <t>PARQUE URBANIZACION ALFIMAR</t>
  </si>
  <si>
    <t>VERGEL</t>
  </si>
  <si>
    <t>-69.9143101</t>
  </si>
  <si>
    <t>18.476183</t>
  </si>
  <si>
    <t>https://maps.app.goo.gl/qN5t7s4nUYfaQHfd6</t>
  </si>
  <si>
    <t>AVE 27 DE FEBRERO</t>
  </si>
  <si>
    <t>AREA RECUPERA 27 DE FEBERO ESQ AVE MAXIMO GOMEZ</t>
  </si>
  <si>
    <t>2547.40</t>
  </si>
  <si>
    <t>-69.9407672</t>
  </si>
  <si>
    <t>18.4366217</t>
  </si>
  <si>
    <t>https://maps.app.goo.gl/Fsu8j8MFX6S8KTPW7</t>
  </si>
  <si>
    <t>PASEO MARITIMO</t>
  </si>
  <si>
    <t>GIRASOLES</t>
  </si>
  <si>
    <t>-69.9926328</t>
  </si>
  <si>
    <t>18.5233068</t>
  </si>
  <si>
    <t>https://maps.app.goo.gl/pVgxmFS5yAhFiy1Y7</t>
  </si>
  <si>
    <t>AVE, MONUMENTAL</t>
  </si>
  <si>
    <t>PARQUE GIRASOLES</t>
  </si>
  <si>
    <t>-69.9385029</t>
  </si>
  <si>
    <t>18.437315</t>
  </si>
  <si>
    <t>https://maps.app.goo.gl/wDhTnpX2B7CUZAum7</t>
  </si>
  <si>
    <t>PARQUE VISTA MAR</t>
  </si>
  <si>
    <t>https://maps.app.goo.gl/ZHX54UMKXC21xbsX8</t>
  </si>
  <si>
    <t>PARQUE HISPANIOLA</t>
  </si>
  <si>
    <t>462.6</t>
  </si>
  <si>
    <t>PEDREGAL</t>
  </si>
  <si>
    <t>-69.9832659</t>
  </si>
  <si>
    <t>18.4329651</t>
  </si>
  <si>
    <t>https://maps.app.goo.gl/gihVgaawRvSAng2D8</t>
  </si>
  <si>
    <t>AVE.CAYETANO GERMOSEN ESQ DIAMANTE</t>
  </si>
  <si>
    <t>PARQUE EL PEDREGAL</t>
  </si>
  <si>
    <t>CRISTO REY</t>
  </si>
  <si>
    <t>-69.9317068</t>
  </si>
  <si>
    <t>18.4956654</t>
  </si>
  <si>
    <t>https://maps.app.goo.gl/2pYkcvkWHDjEgD1Q8</t>
  </si>
  <si>
    <t>AVE. TIRADENTES ESQ CALLE D</t>
  </si>
  <si>
    <t>PARQUE CRISTO LIBRE</t>
  </si>
  <si>
    <t>CENTRO OLIMPICO</t>
  </si>
  <si>
    <t>-69.9200275</t>
  </si>
  <si>
    <t>18.4746236</t>
  </si>
  <si>
    <t>https://goo.gl/maps/RBSpqhRx4Rmy2FDD6</t>
  </si>
  <si>
    <t>AVE.27 DE FEBRERO</t>
  </si>
  <si>
    <t>PARQUE VILLA NAVIDAD  2023</t>
  </si>
  <si>
    <t>-69.9585891</t>
  </si>
  <si>
    <t>18.4328471</t>
  </si>
  <si>
    <t>https://maps.app.goo.gl/yuTEno3uA675oDbVA</t>
  </si>
  <si>
    <t>CALLE MERCEDES OLIVO</t>
  </si>
  <si>
    <t>PARQUE URB, BETA</t>
  </si>
  <si>
    <t>-69.9189577</t>
  </si>
  <si>
    <t>18.5061321</t>
  </si>
  <si>
    <t>https://maps.app.goo.gl/cJ2YFRTwKeNigSW79</t>
  </si>
  <si>
    <t>CALLE RAMON CACERES</t>
  </si>
  <si>
    <t>PUERTO ISABELA II</t>
  </si>
  <si>
    <t>-69.9698398</t>
  </si>
  <si>
    <t>18.4605109</t>
  </si>
  <si>
    <t>https://maps.app.goo.gl/Gbkbo7euybUEJa8WA</t>
  </si>
  <si>
    <t>CALLE 4</t>
  </si>
  <si>
    <t>PARQUE URBANIZACION ROSMIL</t>
  </si>
  <si>
    <t>426.6</t>
  </si>
  <si>
    <t>URBANIZACION VELAZCASAS</t>
  </si>
  <si>
    <t>-69.9734177</t>
  </si>
  <si>
    <t>18.4277438</t>
  </si>
  <si>
    <t>https://maps.app.goo.gl/fvcjehYNSQ93qVmz8</t>
  </si>
  <si>
    <t>AVE.GEORGE WASHINTONG</t>
  </si>
  <si>
    <t>PARQUE VELAZCASAS</t>
  </si>
  <si>
    <t>URBANIZACION GACELA</t>
  </si>
  <si>
    <t>-69.974880</t>
  </si>
  <si>
    <t>18.4334777</t>
  </si>
  <si>
    <t>https://maps.app.goo.gl/yjXRwjX5M33tbyrF9</t>
  </si>
  <si>
    <t>CALLE GACELA</t>
  </si>
  <si>
    <t>PARQUE RESIDENCIAL GACELA</t>
  </si>
  <si>
    <t>URBANIZACION HONDURAS</t>
  </si>
  <si>
    <t>-69.9491532</t>
  </si>
  <si>
    <t>18.443057</t>
  </si>
  <si>
    <t>https://goo.gl/maps/emtARwg3EiAxwpwcA</t>
  </si>
  <si>
    <t>CALLE EL TUNEL</t>
  </si>
  <si>
    <t>PARQUE RESIDENCIAL EL TUNEL</t>
  </si>
  <si>
    <t>537,68</t>
  </si>
  <si>
    <t>URBANIZACION FERNANDEZ</t>
  </si>
  <si>
    <t>-69.945314</t>
  </si>
  <si>
    <t>18.4767668</t>
  </si>
  <si>
    <t>https://goo.gl/maps/42R7gJgtWFt3fc619</t>
  </si>
  <si>
    <t>AVE. WINSTON CHURCHILL</t>
  </si>
  <si>
    <t>PLAZA PROYECTO AMBIENTAL</t>
  </si>
  <si>
    <t>-69.9447326</t>
  </si>
  <si>
    <t>18.4764041</t>
  </si>
  <si>
    <t>https://goo.gl/maps/nDMFg19VhV1Yj3kG7</t>
  </si>
  <si>
    <t>CALLE ELIPSE</t>
  </si>
  <si>
    <t>PROYECTO AMBIENTAL FERNANDEZ</t>
  </si>
  <si>
    <t>884.5</t>
  </si>
  <si>
    <t>-69.9467488</t>
  </si>
  <si>
    <t>18.47599</t>
  </si>
  <si>
    <t>https://goo.gl/maps/MVnGgjYupLLqGNNh6</t>
  </si>
  <si>
    <t>CALLE PARABOLA ESQ ELIPSE</t>
  </si>
  <si>
    <t>PARQUE URBANIZACIÓN FERNANDEZ</t>
  </si>
  <si>
    <t>VILLA JUANA</t>
  </si>
  <si>
    <t>-69.9048303</t>
  </si>
  <si>
    <t>18.4895402</t>
  </si>
  <si>
    <t>https://goo.gl/maps/KmtthbvUMZdhfoiUA</t>
  </si>
  <si>
    <t>AVE. QUINTO CENTENARIO</t>
  </si>
  <si>
    <t>PARQUE VILLA JUANA EN HOMENAJE A LEO CORPORAN</t>
  </si>
  <si>
    <t>-69.9023324</t>
  </si>
  <si>
    <t>18.4914387</t>
  </si>
  <si>
    <t>https://goo.gl/maps/5gS5vw5mtg4ziy9d8</t>
  </si>
  <si>
    <t>AVE QUINTO CENTENARIO ESQ MAYI PEREZ</t>
  </si>
  <si>
    <t>PARQUE PROFESORA SODIA ALCANTARA</t>
  </si>
  <si>
    <t>ROSMIL</t>
  </si>
  <si>
    <t>-69.9678191</t>
  </si>
  <si>
    <t>18.458879</t>
  </si>
  <si>
    <t>https://goo.gl/maps/yk768Az1oEPb3itt7</t>
  </si>
  <si>
    <t>C/12 ESQ C/7</t>
  </si>
  <si>
    <t>PARQUE ROSMIL</t>
  </si>
  <si>
    <t>348.6</t>
  </si>
  <si>
    <t>DOMINICANOS AUSENTES</t>
  </si>
  <si>
    <t>-69.965738</t>
  </si>
  <si>
    <t>18.4300229</t>
  </si>
  <si>
    <t>https://maps.app.goo.gl/WK6f5nBhz6ZsTAKH6</t>
  </si>
  <si>
    <t>C/PAYA</t>
  </si>
  <si>
    <t>PARQUE URBANIZACION TROPICAL</t>
  </si>
  <si>
    <t>JULIETA MORALES</t>
  </si>
  <si>
    <t>-69.945010</t>
  </si>
  <si>
    <t>18.4701684</t>
  </si>
  <si>
    <t>https://maps.app.goo.gl/64zntm8rMraUQnPQ8</t>
  </si>
  <si>
    <t>AVE. GUSTAVO MEJIA RICART</t>
  </si>
  <si>
    <t>AREA RECUPERADA GUSTAVO MEJIA RICART ESQ AVILES BLONDA(SALON ESTHER)</t>
  </si>
  <si>
    <t>424.4</t>
  </si>
  <si>
    <t>URB.TROPICAL/DOMINICANO AUSENTES</t>
  </si>
  <si>
    <t>-69.9483884</t>
  </si>
  <si>
    <t>18.4340447</t>
  </si>
  <si>
    <t>https://goo.gl/maps/LhDuW4CGDHaFwz6o9</t>
  </si>
  <si>
    <t>AUTOPISTA 30 DE MAYO</t>
  </si>
  <si>
    <t>PARQUE DOMINICANOS EN EL EXTERIOR</t>
  </si>
  <si>
    <t>URB.CORAL</t>
  </si>
  <si>
    <t>-69.956045</t>
  </si>
  <si>
    <t>18.4394475</t>
  </si>
  <si>
    <t>https://maps.app.goo.gl/cao4EV9tw9aojUzW9</t>
  </si>
  <si>
    <t>CALLE CORAL</t>
  </si>
  <si>
    <t>PARQUE COSTA CORAL(PARQUE URBANIZACION CORAL)</t>
  </si>
  <si>
    <t>LAS PRADERAS</t>
  </si>
  <si>
    <t>-69.965964</t>
  </si>
  <si>
    <t>18.4592091</t>
  </si>
  <si>
    <t>https://maps.app.goo.gl/bjYCbsLCMAn2rzoB7</t>
  </si>
  <si>
    <t>CALLE TEODORO CHASEAU</t>
  </si>
  <si>
    <t>PARQUE PRADERAS</t>
  </si>
  <si>
    <t>-69.9755877</t>
  </si>
  <si>
    <t>18.4400633</t>
  </si>
  <si>
    <t>https://goo.gl/maps/dCJu7jkjR1GG3mnw9</t>
  </si>
  <si>
    <t>CALLE GUARICO ESQ CALLE HATUEY</t>
  </si>
  <si>
    <t>AREA RECUPERADA CACICAZGOS</t>
  </si>
  <si>
    <t>98.32</t>
  </si>
  <si>
    <t>ENSANCHE INDEPENDENCIA</t>
  </si>
  <si>
    <t>-69.909001</t>
  </si>
  <si>
    <t>18.4676068</t>
  </si>
  <si>
    <t>https://maps.app.goo.gl/EZK1BvLbVeJ3Xftx6</t>
  </si>
  <si>
    <t>AVE SIMON BOLIVAR</t>
  </si>
  <si>
    <t>PLAZA MAHATMA GANDHI</t>
  </si>
  <si>
    <t>ENSANCHE PIANTINI</t>
  </si>
  <si>
    <t>-69.931901</t>
  </si>
  <si>
    <t>18.4691064</t>
  </si>
  <si>
    <t>https://maps.app.goo.gl/7JAnHi1WybYLSUkLA</t>
  </si>
  <si>
    <t>AVE. ROBERTO PASTORIZA ESQ AVE. ABRAHAM LINCOLN</t>
  </si>
  <si>
    <t>PARQUE LA LIRA(RUBEN DARIO)</t>
  </si>
  <si>
    <t>-69.9313191</t>
  </si>
  <si>
    <t>18.4997396</t>
  </si>
  <si>
    <t>https://goo.gl/maps/j3V7qLv9vgyaaqJSA</t>
  </si>
  <si>
    <t>CALLE PABLO 6TO</t>
  </si>
  <si>
    <t>PARQUE LOS FARALLONES</t>
  </si>
  <si>
    <t>-69.9679732</t>
  </si>
  <si>
    <t>18.4584733</t>
  </si>
  <si>
    <t>https://goo.gl/maps/z5syi2N13vihgmTK8</t>
  </si>
  <si>
    <t>C/8 ESQ C/12</t>
  </si>
  <si>
    <t>PARQUE RESTAURADORES</t>
  </si>
  <si>
    <t>822.8</t>
  </si>
  <si>
    <t>URBANIZACION INDEPENDENCIA</t>
  </si>
  <si>
    <t>https://maps.app.goo.gl/GGZFU3CLxNgWTDTi7</t>
  </si>
  <si>
    <t>CALLE PALO HINCADO ESQ BOLIVAR</t>
  </si>
  <si>
    <t>PARQUE URBANIZACIÓN INDEPENDENCIA</t>
  </si>
  <si>
    <t>CIUDAD UNIVERSITARIA</t>
  </si>
  <si>
    <t>-69.9126603</t>
  </si>
  <si>
    <t>18.4619683</t>
  </si>
  <si>
    <t>https://goo.gl/maps/qy1JZiwAVSycpKz87</t>
  </si>
  <si>
    <t>CALLE SANTO TOMAS DE AQUINO ESQ ARISTIDES FIALLO DE CABRAL</t>
  </si>
  <si>
    <t>PLAZA SANTO TOMAS DE AQUINO</t>
  </si>
  <si>
    <t>-69.9265785</t>
  </si>
  <si>
    <t>18.4581126</t>
  </si>
  <si>
    <t>https://goo.gl/maps/7DwKm4nbY8cPkY9x9</t>
  </si>
  <si>
    <t>AVE JOSE CONTRERAS ESQ TERCERA</t>
  </si>
  <si>
    <t>PARQUE MATA HAMBRE</t>
  </si>
  <si>
    <t>LAS VILLAS</t>
  </si>
  <si>
    <t>-69.9450402</t>
  </si>
  <si>
    <t>18.4855443</t>
  </si>
  <si>
    <t>https://goo.gl/maps/KTZwGegNwBFcMH8y5</t>
  </si>
  <si>
    <t>CALLE ROSENDO ALVARES ESQ ERICK LEONARD</t>
  </si>
  <si>
    <t>PARQUE LAS VILLAS</t>
  </si>
  <si>
    <t>EMBAJADORES</t>
  </si>
  <si>
    <t>-69.9369616</t>
  </si>
  <si>
    <t>18.457329</t>
  </si>
  <si>
    <t>https://goo.gl/maps/8EKvaz9sS1Tu1sWr5</t>
  </si>
  <si>
    <t>AVE SARASOTA ESQ RECODO</t>
  </si>
  <si>
    <t>PLAZA  XXVIII CUMBRE  IBEROAMERICANA</t>
  </si>
  <si>
    <t>BELLA VISTA</t>
  </si>
  <si>
    <t>-69.9375766</t>
  </si>
  <si>
    <t>18.4562074</t>
  </si>
  <si>
    <t>https://goo.gl/maps/JWLHMZAJZ6LgXUq2A</t>
  </si>
  <si>
    <t>AVE SARASOTA ESQ PEDRO  A BOBEA</t>
  </si>
  <si>
    <t>ISLETA RECUPERADA VIMENCA SARASOTA</t>
  </si>
  <si>
    <t>244.5</t>
  </si>
  <si>
    <t>-69.9291742</t>
  </si>
  <si>
    <t>18.462963</t>
  </si>
  <si>
    <t>https://goo.gl/maps/ZaphTZhSHgqe8vKS9</t>
  </si>
  <si>
    <t>AV. SIMON BOLIVAR</t>
  </si>
  <si>
    <t>PLAZA DIASPORA DOMINICANA</t>
  </si>
  <si>
    <t>100.1</t>
  </si>
  <si>
    <t>LA ESPERILLA</t>
  </si>
  <si>
    <t>-69.9285935</t>
  </si>
  <si>
    <t>18.4629584</t>
  </si>
  <si>
    <t>https://goo.gl/maps/Fps1XgGo6MVdF4xBA</t>
  </si>
  <si>
    <t>PLAZA FRANCISCO DE MIRANDA</t>
  </si>
  <si>
    <t>FEBRERO</t>
  </si>
  <si>
    <t>-69.9660175</t>
  </si>
  <si>
    <t>18.445626</t>
  </si>
  <si>
    <t>https://goo.gl/maps/eWz2txdJgKo7eS5TA</t>
  </si>
  <si>
    <t>C/MIGUEL ANGEL ESQ C/BAYACAN</t>
  </si>
  <si>
    <t>PARQUE RENACIMIENTO</t>
  </si>
  <si>
    <t>-69.9805722</t>
  </si>
  <si>
    <t>18.436088</t>
  </si>
  <si>
    <t>https://goo.gl/maps/7tW2kCs67GBaT79L6</t>
  </si>
  <si>
    <t>AVE/MIRADOR SUR</t>
  </si>
  <si>
    <t>PASEO DE LOS INDIOS</t>
  </si>
  <si>
    <t>AVE SARASOTA</t>
  </si>
  <si>
    <t>AREA RECUPERADA/CALLE  RAFAEL ALBUQUERQUE</t>
  </si>
  <si>
    <t>-69.9396542</t>
  </si>
  <si>
    <t>18.450151</t>
  </si>
  <si>
    <t>https://goo.gl/maps/W124btRwRHCwKuRLA</t>
  </si>
  <si>
    <t>AVE CAONABO</t>
  </si>
  <si>
    <t>AREA INFANTIL SEGUNDA ETAPA MIRADOR SUR</t>
  </si>
  <si>
    <t>18.22</t>
  </si>
  <si>
    <t>-69.9776512</t>
  </si>
  <si>
    <t>18.4856643</t>
  </si>
  <si>
    <t>https://goo.gl/maps/SVBh7dd8D5jTf91y8</t>
  </si>
  <si>
    <t>AUTOPISTA DUARTE</t>
  </si>
  <si>
    <t>AREA RECUPERADA CARREFOUR</t>
  </si>
  <si>
    <t>ATLANTIDA</t>
  </si>
  <si>
    <t>-69.983401</t>
  </si>
  <si>
    <t>18.4268572</t>
  </si>
  <si>
    <t>https://goo.gl/maps/dyr4yxeRAAaScVnv5</t>
  </si>
  <si>
    <t>AVE GEORGE WASHINTONG</t>
  </si>
  <si>
    <t>PARQUE ATLANTIDA</t>
  </si>
  <si>
    <t>-69.9243455</t>
  </si>
  <si>
    <t>18.4485353</t>
  </si>
  <si>
    <t>https://goo.gl/maps/wpRHrUkjUKFPC5Mx6</t>
  </si>
  <si>
    <t>CALLE RAFAEL DAMIRON</t>
  </si>
  <si>
    <t>PLAZOLETA LOS ROTARIOS</t>
  </si>
  <si>
    <t>JARDINEZ DEL SUR</t>
  </si>
  <si>
    <t>-69.9547037</t>
  </si>
  <si>
    <t>18.4405684</t>
  </si>
  <si>
    <t>https://goo.gl/maps/YyjBJrgqhrutd3j69</t>
  </si>
  <si>
    <t>C/A ESQ CALLE C</t>
  </si>
  <si>
    <t>PARQUE ALEXANDRA LAS AURORAS</t>
  </si>
  <si>
    <t>LAS 800</t>
  </si>
  <si>
    <t>-69.9662457</t>
  </si>
  <si>
    <t>18.4979371</t>
  </si>
  <si>
    <t>https://goo.gl/maps/eZAT54odnLXbVzQYA</t>
  </si>
  <si>
    <t>CALLE A</t>
  </si>
  <si>
    <t>AREA RECUPERA BARRIO 800 DE LOS RIOS</t>
  </si>
  <si>
    <t>-69.9298502</t>
  </si>
  <si>
    <t>18.4640603</t>
  </si>
  <si>
    <t>https://goo.gl/maps/maXMcsaS52NPhnP66</t>
  </si>
  <si>
    <t>AVE.ABRAHAM LINCOLN ESQ PEDRO HENRRIQUEZ UREÑA</t>
  </si>
  <si>
    <t>AREA RECUPERADA  DE LA LINCOLN ESQ PEDRO HENRIQUEZ UREÑA DISESA</t>
  </si>
  <si>
    <t>91.30</t>
  </si>
  <si>
    <t>GENERAL ANTONIO DUVERGE</t>
  </si>
  <si>
    <t>-69.9374695</t>
  </si>
  <si>
    <t>18.4493626</t>
  </si>
  <si>
    <t>https://goo.gl/maps/zcueshmaNZdBSPND6</t>
  </si>
  <si>
    <t>AVE. ITALIA</t>
  </si>
  <si>
    <t>PARQUE HONDURAS</t>
  </si>
  <si>
    <t>-69.9718352</t>
  </si>
  <si>
    <t>18.4453143</t>
  </si>
  <si>
    <t>https://goo.gl/maps/whtnMmy2kzrRWA5M7</t>
  </si>
  <si>
    <t>AVE.ROMULO BETANCOURT HASTA LA SAN PIO</t>
  </si>
  <si>
    <t>AREA VERDE CENTRAL DE LA ROMULO BETANCOURT C/PROFESOR DE LOS ABOGADOS HASTA LUPERON</t>
  </si>
  <si>
    <t>AREA VERDE CENTRAL   DE LA ROMULO BETANCOURT C/SAN PIO HASTA PROFESOR DE LOS ABOGADOS</t>
  </si>
  <si>
    <t>-69.9414266</t>
  </si>
  <si>
    <t>18.4844271</t>
  </si>
  <si>
    <t>https://goo.gl/maps/uG6yaCmrNEado3kq8</t>
  </si>
  <si>
    <t>AVE.FITZGERALD KENNEDY</t>
  </si>
  <si>
    <t>PLAZOLETA ENCUENTRO ROTARIO POR LA PAZ</t>
  </si>
  <si>
    <t>PARQUE VILLA NAVIDAD  2022</t>
  </si>
  <si>
    <t>-69.9551052</t>
  </si>
  <si>
    <t>18.4393923</t>
  </si>
  <si>
    <t>https://goo.gl/maps/LYcpuEDKckjNoxCn8</t>
  </si>
  <si>
    <t>CALLE EL CORAL</t>
  </si>
  <si>
    <t>AREA VERDE EL CORAL</t>
  </si>
  <si>
    <t>-69.956532</t>
  </si>
  <si>
    <t>18.4385207</t>
  </si>
  <si>
    <t>https://goo.gl/maps/mqYXBgfZV9BrJ3Z88</t>
  </si>
  <si>
    <t>PARQUE CORAL</t>
  </si>
  <si>
    <t>-69.9066324</t>
  </si>
  <si>
    <t>18.4764881</t>
  </si>
  <si>
    <t>https://goo.gl/maps/wv6Zku81T12y5eom6</t>
  </si>
  <si>
    <t>C/SAN JUAN BOSCO ESQ BOHECHIO</t>
  </si>
  <si>
    <t>PLAZA DON BOSCO SUR</t>
  </si>
  <si>
    <t>PARQUE DON BOSCO SUR</t>
  </si>
  <si>
    <t>-69.9776574</t>
  </si>
  <si>
    <t>18.4392808</t>
  </si>
  <si>
    <t>https://goo.gl/maps/pbHCMKbfQpAmMoxn7</t>
  </si>
  <si>
    <t>C/HATUEY</t>
  </si>
  <si>
    <t>AREA RECUPERADA ROTONDA DE LOS CACICAZGOS PARTE 2</t>
  </si>
  <si>
    <t>-69.9824997</t>
  </si>
  <si>
    <t>18.4375281</t>
  </si>
  <si>
    <t>https://goo.gl/maps/YUNgptP5BMrQNXzt5</t>
  </si>
  <si>
    <t>C/HATUEY ESQ GUARICANO</t>
  </si>
  <si>
    <t>AREA RECUPERADA ROTONDA DE LOS CACICAZGOS PARTE 1</t>
  </si>
  <si>
    <t>GUACHUPITA</t>
  </si>
  <si>
    <t>-69.8854397</t>
  </si>
  <si>
    <t>18.4961526</t>
  </si>
  <si>
    <t>https://goo.gl/maps/c7qoMJSHEL7bh4Ep9</t>
  </si>
  <si>
    <t>AVE. FRANCISCO DEL ROSARIO SANCHEZ</t>
  </si>
  <si>
    <t>PARQUE ALTAGRACIA FLORES(GUACHUPITA)</t>
  </si>
  <si>
    <t>ZONA 19</t>
  </si>
  <si>
    <t>-69.9483093</t>
  </si>
  <si>
    <t>18.4499567</t>
  </si>
  <si>
    <t>https://goo.gl/maps/ALyW7h6bwWWQrXMj8</t>
  </si>
  <si>
    <t>CALLE HELIOS</t>
  </si>
  <si>
    <t>PARQUE HELIOS DE BELLA VISTA</t>
  </si>
  <si>
    <t>-69.9049964</t>
  </si>
  <si>
    <t>18.4782252</t>
  </si>
  <si>
    <t>https://goo.gl/maps/d8CKrZydEEMvP7C87</t>
  </si>
  <si>
    <t>PARQUE DON BOSCO NORTE</t>
  </si>
  <si>
    <t>112.40</t>
  </si>
  <si>
    <t>-69.938882</t>
  </si>
  <si>
    <t>18.4525636</t>
  </si>
  <si>
    <t>https://goo.gl/maps/DcSYfHtyynxqfXhn7</t>
  </si>
  <si>
    <t>CALLE SELENE</t>
  </si>
  <si>
    <t>PARQUE  SELENE ESQ HATUEY DE BELLA VISTA</t>
  </si>
  <si>
    <t>-69.8876176</t>
  </si>
  <si>
    <t>18.4816041</t>
  </si>
  <si>
    <t>https://goo.gl/maps/LViETvrHWHcCDfNN9</t>
  </si>
  <si>
    <t>AVENIDA MEXICO ESQ ISABEL LA CATOLICA</t>
  </si>
  <si>
    <t>PARQUE VILLA FRANCISCA</t>
  </si>
  <si>
    <t>136.6</t>
  </si>
  <si>
    <t>NACO</t>
  </si>
  <si>
    <t>-69.9230138</t>
  </si>
  <si>
    <t>18.4770397</t>
  </si>
  <si>
    <t>https://goo.gl/maps/PBd9hbLAV4sTnqYRA</t>
  </si>
  <si>
    <t>CALLE FANTINO FALCO</t>
  </si>
  <si>
    <t>PARQUE ARBOLEDA</t>
  </si>
  <si>
    <t>SAN CARLOS</t>
  </si>
  <si>
    <t>-69.8985822</t>
  </si>
  <si>
    <t>18.4769246</t>
  </si>
  <si>
    <t>https://goo.gl/maps/r7oQVsFqiD9jAh1t7</t>
  </si>
  <si>
    <t>AVENIDA MEXICO</t>
  </si>
  <si>
    <t>PLAZOLETA JOSEFA ORTIZ  DE DOMINGUEZ</t>
  </si>
  <si>
    <t>-69.9061699</t>
  </si>
  <si>
    <t>18.4821946</t>
  </si>
  <si>
    <t>https://goo.gl/maps/uMmLcVwmLnxWT3Hy6</t>
  </si>
  <si>
    <t>AVE SAN MARTIN</t>
  </si>
  <si>
    <t>PARQUE SAN MARTIN Y SU ENTORNO</t>
  </si>
  <si>
    <t>-69.9385326</t>
  </si>
  <si>
    <t>18.4525685</t>
  </si>
  <si>
    <t>https://goo.gl/maps/N7mToL57BmxkAgAw6</t>
  </si>
  <si>
    <t>CALLE HIGUEMOTA ESQ SELENE</t>
  </si>
  <si>
    <t>PARQUE SELENE DE BELLA VISTA</t>
  </si>
  <si>
    <t>CIUDAD COLONIAL</t>
  </si>
  <si>
    <t>-69.889584</t>
  </si>
  <si>
    <t>18.4748961</t>
  </si>
  <si>
    <t>https://goo.gl/maps/TcwCqBJhsxSifWMn7</t>
  </si>
  <si>
    <t>CALLE PETER DIAZ</t>
  </si>
  <si>
    <t>PARQUE LAS CANQUIÑAS SAN LAZARO (JOBO BONITO)</t>
  </si>
  <si>
    <t>MEJORAMIENTO SOCIAL</t>
  </si>
  <si>
    <t>-69.8867958</t>
  </si>
  <si>
    <t>18.4872843</t>
  </si>
  <si>
    <t>https://goo.gl/maps/LFN9dRskx9fY1ZYT7</t>
  </si>
  <si>
    <t>CALLE TENIENTE  AMADO GARCIA</t>
  </si>
  <si>
    <t>PARQUE MIRADOR ROSA DUARTE</t>
  </si>
  <si>
    <t>NORDESA</t>
  </si>
  <si>
    <t>-69.9680073</t>
  </si>
  <si>
    <t>18.4340825</t>
  </si>
  <si>
    <t>https://goo.gl/maps/FyWhuC12xvZ9Qw9d6</t>
  </si>
  <si>
    <t>CALLE NORDESA I</t>
  </si>
  <si>
    <t>PARQUE NORDESA I</t>
  </si>
  <si>
    <t>51.2</t>
  </si>
  <si>
    <t>-69.968805</t>
  </si>
  <si>
    <t>18.4292021</t>
  </si>
  <si>
    <t>https://maps.app.goo.gl/LZSTursNMzU3gn4o7</t>
  </si>
  <si>
    <t xml:space="preserve">CALLE RODRIGO DE TRIANA </t>
  </si>
  <si>
    <t>PARQUE COSTA CARIBE</t>
  </si>
  <si>
    <t>ALTURAS COSTA CRIOLLA</t>
  </si>
  <si>
    <t>-69.9692672</t>
  </si>
  <si>
    <t>18.4357171</t>
  </si>
  <si>
    <t>https://goo.gl/maps/ubacwBXUuGWapGMr5</t>
  </si>
  <si>
    <t>CALLE  1 ERA</t>
  </si>
  <si>
    <t>PARQUE ALTURAS  DE COSTA CRIOLLA</t>
  </si>
  <si>
    <t>Boulevard</t>
  </si>
  <si>
    <t>CIUDAD UNIVESITARIA</t>
  </si>
  <si>
    <t>-69.9199212</t>
  </si>
  <si>
    <t>18.462774</t>
  </si>
  <si>
    <t>https://goo.gl/maps/qAW2nDS3XKhPzESx6</t>
  </si>
  <si>
    <t>AVE. ALMA MATER</t>
  </si>
  <si>
    <t>BOULEVARD DE LOS BUHONEROS</t>
  </si>
  <si>
    <t>-69.922531</t>
  </si>
  <si>
    <t>18.4639073</t>
  </si>
  <si>
    <t>https://goo.gl/maps/zzdJU2C3rfyGBHYs6</t>
  </si>
  <si>
    <t>BOULEVARD DE LOS ESTUDIANTES</t>
  </si>
  <si>
    <t>-69.9747217</t>
  </si>
  <si>
    <t>18.4339385</t>
  </si>
  <si>
    <t>https://goo.gl/maps/8Qf8N6KQjm1DTKJH6</t>
  </si>
  <si>
    <t>CALLE VIENTOS DEL OESTE</t>
  </si>
  <si>
    <t>PLAZOLETA EUGENIO MARCANO</t>
  </si>
  <si>
    <t>126.7</t>
  </si>
  <si>
    <t>-69.9723376</t>
  </si>
  <si>
    <t>18.4276041</t>
  </si>
  <si>
    <t>https://goo.gl/maps/C1wjD2dUg97TZdy99</t>
  </si>
  <si>
    <t>CALLE NORDESA II</t>
  </si>
  <si>
    <t>PARQUE NORDESA II</t>
  </si>
  <si>
    <t>Monumento</t>
  </si>
  <si>
    <t>CIUDAD NUEVA</t>
  </si>
  <si>
    <t>-69.8960906</t>
  </si>
  <si>
    <t>18.4645752</t>
  </si>
  <si>
    <t>https://goo.gl/maps/wRLH2dSSVULxsBXn6</t>
  </si>
  <si>
    <t>AVE. PRESIDENTE ANTONIO BILLINI</t>
  </si>
  <si>
    <t>OBELISCO MACHO</t>
  </si>
  <si>
    <t>LOS PRADOS</t>
  </si>
  <si>
    <t>-69.9550016</t>
  </si>
  <si>
    <t>18.4772008</t>
  </si>
  <si>
    <t>https://goo.gl/maps/iwQiK77EXetLAG1L7</t>
  </si>
  <si>
    <t>C NICOLAS UREÑA DE MENDOZA</t>
  </si>
  <si>
    <t>PARQUE LOS PRADOS</t>
  </si>
  <si>
    <t>-69.9228934</t>
  </si>
  <si>
    <t>18.49748</t>
  </si>
  <si>
    <t>https://goo.gl/maps/8WRp8NMFQEn7DNLg6</t>
  </si>
  <si>
    <t>CALLE RAFAEL J. CASTILLO ESQ FELIX EVARISTO MEJIA</t>
  </si>
  <si>
    <t>PARQUE CRUZ JIMINIAN</t>
  </si>
  <si>
    <t>-69.9284462</t>
  </si>
  <si>
    <t>18.4582281</t>
  </si>
  <si>
    <t>https://goo.gl/maps/o4hshdxD94ukShKT8</t>
  </si>
  <si>
    <t>AVE.ABRAHAM LINCOLN ESQ JOSE CONTRERAS</t>
  </si>
  <si>
    <t>AREA RECUPERADA ABRAHAM LICOLN ESQ JOSE CONTRERAS</t>
  </si>
  <si>
    <t>91.29</t>
  </si>
  <si>
    <t>MARYPILY</t>
  </si>
  <si>
    <t>-69.9357294</t>
  </si>
  <si>
    <t>18.4483416</t>
  </si>
  <si>
    <t>https://goo.gl/maps/Tpdyq4Zfnv4vs87TA</t>
  </si>
  <si>
    <t>PARQUE MARIPILY</t>
  </si>
  <si>
    <t>-69.9449643</t>
  </si>
  <si>
    <t>18.4867834</t>
  </si>
  <si>
    <t>https://goo.gl/maps/RhG6zYbydTiviUsr5</t>
  </si>
  <si>
    <t>AVE. EUCLIDES MORILLO  ESQ INTERIOR EUCLIDE MORILLO</t>
  </si>
  <si>
    <t>PARQUE LAS VILLAS I</t>
  </si>
  <si>
    <t>EVARISTO MORALES</t>
  </si>
  <si>
    <t>-69.9436178</t>
  </si>
  <si>
    <t>18.4622492</t>
  </si>
  <si>
    <t>https://goo.gl/maps/SvGVxTY8a6y3gJE87</t>
  </si>
  <si>
    <t>CALLE PASEO DE LOS LOCUTORES</t>
  </si>
  <si>
    <t>PARQUE BUEN PASTOR</t>
  </si>
  <si>
    <t>LAS AVENIDAS</t>
  </si>
  <si>
    <t>-69.9701693</t>
  </si>
  <si>
    <t>18.4842224</t>
  </si>
  <si>
    <t>https://goo.gl/maps/hU2SBdDvrbRaq6s48</t>
  </si>
  <si>
    <t>AVE. CORONEL LORA FERNANDEZ ESQ CALLE C</t>
  </si>
  <si>
    <t>PARQUES LAS AVENIDAS</t>
  </si>
  <si>
    <t>348.9</t>
  </si>
  <si>
    <t>-69.9199343</t>
  </si>
  <si>
    <t>18.4694431</t>
  </si>
  <si>
    <t>https://goo.gl/maps/W32TQKdmStydJxcu9</t>
  </si>
  <si>
    <t>AVE. PEDRO HERRIQUEZ UREÑA</t>
  </si>
  <si>
    <t>PARQUE CHILE</t>
  </si>
  <si>
    <t>600.26</t>
  </si>
  <si>
    <t>Play</t>
  </si>
  <si>
    <t>JARDINES DEL SUR</t>
  </si>
  <si>
    <t>-69.9522014</t>
  </si>
  <si>
    <t>18.4415218</t>
  </si>
  <si>
    <t>https://goo.gl/maps/k1ZMudMhG8g2vt2d8</t>
  </si>
  <si>
    <t xml:space="preserve">AVE CAYETANO GERMOSEN </t>
  </si>
  <si>
    <t>PLAY DE LA CAYETANO</t>
  </si>
  <si>
    <t>ALTOS DEL PEDREGAL</t>
  </si>
  <si>
    <t>-69.9853627</t>
  </si>
  <si>
    <t>18.4335309</t>
  </si>
  <si>
    <t>https://goo.gl/maps/1AkpNmkHLHRaFNAEA</t>
  </si>
  <si>
    <t>PARQUE ALTOS DEL PEDREGAL</t>
  </si>
  <si>
    <t>Z0NA 06</t>
  </si>
  <si>
    <t>161.4</t>
  </si>
  <si>
    <t>BRISAS DEL MAR</t>
  </si>
  <si>
    <t>-69.9357775</t>
  </si>
  <si>
    <t>18.4424313</t>
  </si>
  <si>
    <t>https://goo.gl/maps/QzXZkCXpsmfWFkiN6</t>
  </si>
  <si>
    <t>CALLE 1ERA  ESQ ROLDAN</t>
  </si>
  <si>
    <t>PARQUE BRISAS DEL MAR II</t>
  </si>
  <si>
    <t>PARQUE BRISAS DEL MAR I</t>
  </si>
  <si>
    <t>-69.8936437</t>
  </si>
  <si>
    <t>18.4771252</t>
  </si>
  <si>
    <t>https://goo.gl/maps/F872YiXr9VnkJvY37</t>
  </si>
  <si>
    <t>AVE. MEXICO ESQ C. JUAN BAUTISTA VICINI BURGOS</t>
  </si>
  <si>
    <t>PARQUE ROLITAS</t>
  </si>
  <si>
    <t>-69.8871533</t>
  </si>
  <si>
    <t>18.4814981</t>
  </si>
  <si>
    <t>https://goo.gl/maps/Xq54ENXHEWjZQpWf6</t>
  </si>
  <si>
    <t>AVE, MEXICO ESQ JUANA SALTITOPA</t>
  </si>
  <si>
    <t>TRIANGULO DE LA MEXICO ESQ JUANA SALTITOPA</t>
  </si>
  <si>
    <t>URB.FERNANDEZ</t>
  </si>
  <si>
    <t>-69.9516872</t>
  </si>
  <si>
    <t>18.4733683</t>
  </si>
  <si>
    <t>https://goo.gl/maps/aA8UqeBwASixNBtJ6</t>
  </si>
  <si>
    <t>CALLE HERIBERTO NUÑEZ</t>
  </si>
  <si>
    <t>AREA RECUPERADA /ELIMINACION DE VERTEDEROS URB. FERNANDEZ</t>
  </si>
  <si>
    <t>-69.8957103</t>
  </si>
  <si>
    <t>18.4767291</t>
  </si>
  <si>
    <t>https://goo.gl/maps/5LnyP4JegXRKiSxG7</t>
  </si>
  <si>
    <t>AVE. Mexico ESQ EMILIO PRUD HOMME</t>
  </si>
  <si>
    <t>AREA RECUPERA /ELIMINACION DE VERTEDEROS (EMILIO PRUD HOMME ESQ AVE. MEXICO)</t>
  </si>
  <si>
    <t>GUALEY</t>
  </si>
  <si>
    <t>-69.8846652</t>
  </si>
  <si>
    <t>18.5039302</t>
  </si>
  <si>
    <t>https://goo.gl/maps/oX3HRbrZWd4QXfwi8</t>
  </si>
  <si>
    <t>AVE. PADRE CASTELLANOS ESQ JOSE FRANCISCO DEL ROSARIO SANCHEZ</t>
  </si>
  <si>
    <t>PLAZOLETA JOSE FRANCISCO PEÑA GOMEZ</t>
  </si>
  <si>
    <t>ZONA 11</t>
  </si>
  <si>
    <t>MARIA AUXILIADORA</t>
  </si>
  <si>
    <t>-69.890536</t>
  </si>
  <si>
    <t>18.4969962</t>
  </si>
  <si>
    <t>https://goo.gl/maps/Y1E5B2Jz7m4byKJc8</t>
  </si>
  <si>
    <t>CALLE C</t>
  </si>
  <si>
    <t>PARQUE LOMA DEL CHIVO</t>
  </si>
  <si>
    <t>-69.8871118</t>
  </si>
  <si>
    <t>18.4743664</t>
  </si>
  <si>
    <t>https://goo.gl/maps/5FfoFVvdqLfPTnYa8</t>
  </si>
  <si>
    <t>AVE. MERCEDES ESQ 19 DE MARZO</t>
  </si>
  <si>
    <t>PLAZOLETA MARIA TRINIDAD SANCHEZ</t>
  </si>
  <si>
    <t>-69.8948724</t>
  </si>
  <si>
    <t>18.4646216</t>
  </si>
  <si>
    <t>https://goo.gl/maps/94M2x95PEZMqc7fZ9</t>
  </si>
  <si>
    <t>PLAZA JUAN BARON</t>
  </si>
  <si>
    <t>INVI</t>
  </si>
  <si>
    <t>-69.9768134</t>
  </si>
  <si>
    <t>18.4299599</t>
  </si>
  <si>
    <t>https://goo.gl/maps/gcdDsWhM4WK16Kdp9</t>
  </si>
  <si>
    <t>AV INDEPENDENCIA</t>
  </si>
  <si>
    <t>PASEO BOULEVARD DEL INVI</t>
  </si>
  <si>
    <t>ENSANCHE LA FE</t>
  </si>
  <si>
    <t>-69.9171504</t>
  </si>
  <si>
    <t>18.4848953</t>
  </si>
  <si>
    <t>https://goo.gl/maps/qk5umgpudRFLSfCc7</t>
  </si>
  <si>
    <t>AVE  SAN MARTIN</t>
  </si>
  <si>
    <t>PARQUE LA JAVILLA</t>
  </si>
  <si>
    <t>KM 12</t>
  </si>
  <si>
    <t>-69.9896492</t>
  </si>
  <si>
    <t>18.4282012</t>
  </si>
  <si>
    <t>https://goo.gl/maps/X6R6sDnTchEQHCr49</t>
  </si>
  <si>
    <t>AVE. LUPERON</t>
  </si>
  <si>
    <t>AREA RECUPERADA/ELIMINACION DE VERTEDERO (AVENIDA LUPERON ESQ SANCHEZ)</t>
  </si>
  <si>
    <t>VILLAS AGRICOLAS</t>
  </si>
  <si>
    <t>-69.9044408</t>
  </si>
  <si>
    <t>18.4969617</t>
  </si>
  <si>
    <t>https://goo.gl/maps/uS4PEB4oJC7e2ha37</t>
  </si>
  <si>
    <t>AVE. JUAN PABLO DUARTE ESQ ALONSO DE ESPINOSA</t>
  </si>
  <si>
    <t>PARQUE ROSSI</t>
  </si>
  <si>
    <t>LA PUYA</t>
  </si>
  <si>
    <t>-69.9367352</t>
  </si>
  <si>
    <t>18.5059153</t>
  </si>
  <si>
    <t>https://goo.gl/maps/QnXjahKQwHz7fjLs6</t>
  </si>
  <si>
    <t>AVE. LA VEGA REAL ESQ APOLO XI</t>
  </si>
  <si>
    <t>PARQUE APOLO II</t>
  </si>
  <si>
    <t>-69.9393055</t>
  </si>
  <si>
    <t>18.5053343</t>
  </si>
  <si>
    <t>https://goo.gl/maps/XfDGCb6Hgr8nVgDdA</t>
  </si>
  <si>
    <t>AVE. LA VEGA REAL</t>
  </si>
  <si>
    <t>PARQUE LA PUYA</t>
  </si>
  <si>
    <t>PRIMERA ETAPA</t>
  </si>
  <si>
    <t>-69.958457</t>
  </si>
  <si>
    <t>18.440541</t>
  </si>
  <si>
    <t>https://maps.app.goo.gl/qt2ysCrLZYuFFmo28</t>
  </si>
  <si>
    <t>CAYETANO GERMOSEN</t>
  </si>
  <si>
    <t>AREA RECUPERADA/ELIMINACION DE VERTEDERO(CAYETANO GERMOSEN)</t>
  </si>
  <si>
    <t>ZONA COLONIAL</t>
  </si>
  <si>
    <t>-69.885300</t>
  </si>
  <si>
    <t>18.471700</t>
  </si>
  <si>
    <t>https://maps.app.goo.gl/HhpTL2wQfJHSGZ7j6</t>
  </si>
  <si>
    <t xml:space="preserve">CALLE EUGENIO MARIA DE HOSTOS </t>
  </si>
  <si>
    <t>PARQUE DUARTE</t>
  </si>
  <si>
    <t>AGUA DULCE</t>
  </si>
  <si>
    <t>-69.8831725</t>
  </si>
  <si>
    <t>18.5013643</t>
  </si>
  <si>
    <t>https://goo.gl/maps/2Vk7nCwBYqq3S4hNA</t>
  </si>
  <si>
    <t>CALLE 3RA #57</t>
  </si>
  <si>
    <t>PARQUE AGUA DULCE</t>
  </si>
  <si>
    <t>-69.9650198</t>
  </si>
  <si>
    <t>18.4847807</t>
  </si>
  <si>
    <t>https://goo.gl/maps/ZMQWWqpRmfRt7wXy7</t>
  </si>
  <si>
    <t>C/ ORION ESQ. C/ OSAMENOR</t>
  </si>
  <si>
    <t xml:space="preserve">PARQUE GALA-CONSTELACION </t>
  </si>
  <si>
    <t>ZONA  01</t>
  </si>
  <si>
    <t>-69.8845816</t>
  </si>
  <si>
    <t>18.4939583</t>
  </si>
  <si>
    <t>https://goo.gl/maps/MYvQR6Pwr2qBDb896</t>
  </si>
  <si>
    <t>AVE FRANCISCO DEL ROSARIO SANCHEZ</t>
  </si>
  <si>
    <t>PARQUE MIRADOR DE GUACHUPITA</t>
  </si>
  <si>
    <t>LOS MAESTROS</t>
  </si>
  <si>
    <t>-69.9580702</t>
  </si>
  <si>
    <t>18.4511492</t>
  </si>
  <si>
    <t>https://goo.gl/maps/3xsnLGmqiW7haqJAA</t>
  </si>
  <si>
    <t>CALLE MIGUEL ANGEL MONCLUS</t>
  </si>
  <si>
    <t>PARQUE MIGUEL ANGEL MONCLUS</t>
  </si>
  <si>
    <t>-69.9482099</t>
  </si>
  <si>
    <t>18.4469562</t>
  </si>
  <si>
    <t>https://goo.gl/maps/hWYBxMT4uFtZAyHK6</t>
  </si>
  <si>
    <t>AV ANACAONA</t>
  </si>
  <si>
    <t>PARQUE MIRADOR  SUR</t>
  </si>
  <si>
    <t>-69.954346</t>
  </si>
  <si>
    <t>18.4440942</t>
  </si>
  <si>
    <t>https://goo.gl/maps/PXDQDq8jREv1Ht8H9</t>
  </si>
  <si>
    <t>PARQUE CANINO (MIRADOR SUR )</t>
  </si>
  <si>
    <t>ENSANCHE LUPERON</t>
  </si>
  <si>
    <t>-69.900049</t>
  </si>
  <si>
    <t>18.4950343</t>
  </si>
  <si>
    <t>https://goo.gl/maps/TKt55VnSaX5nAc5c6</t>
  </si>
  <si>
    <t>CALLE PEDRO LIVIO CEDEÑO</t>
  </si>
  <si>
    <t>PARQUE PEDRO LIVIO CEDEÑO</t>
  </si>
  <si>
    <t>MIRADOR NORTE</t>
  </si>
  <si>
    <t>-69.9562215</t>
  </si>
  <si>
    <t>18.4512409</t>
  </si>
  <si>
    <t>https://goo.gl/maps/NVM3KDgMwrJf1cJj8</t>
  </si>
  <si>
    <t>CALLE CAMILA HERIQUEZ</t>
  </si>
  <si>
    <t>PARQUE CAMILA HENRIQUEZ UREÑA</t>
  </si>
  <si>
    <t>PLAZA MIRADOR NORTE (AREA VERDE CAMILA)</t>
  </si>
  <si>
    <t>-69.9286323</t>
  </si>
  <si>
    <t>18.4582385</t>
  </si>
  <si>
    <t>https://goo.gl/maps/T4tuarbc4fHZMwpz6</t>
  </si>
  <si>
    <t>AVE JOSE CONTRERAS</t>
  </si>
  <si>
    <t>AREA RECUPERADA/ELIMINACION DE VERTEDERO LINCOLN ESQ JOSE CONTRERAS</t>
  </si>
  <si>
    <t>ZONA05</t>
  </si>
  <si>
    <t>KM 6 1/2</t>
  </si>
  <si>
    <t>-69.9843717</t>
  </si>
  <si>
    <t>18.4287655</t>
  </si>
  <si>
    <t>https://goo.gl/maps/Gr1dR1a1fj4xKptQ9</t>
  </si>
  <si>
    <t>AVENIDA INDEPENDENCIA</t>
  </si>
  <si>
    <t>AREA RECUPERADA/ELIMINACION VERTEDERO(AVENIDA INDEPENDENCIA)</t>
  </si>
  <si>
    <t>-69.9189085</t>
  </si>
  <si>
    <t>18.4947925</t>
  </si>
  <si>
    <t>https://goo.gl/maps/3cBmQRX9TJAy2582A</t>
  </si>
  <si>
    <t>AVE MAXIMO GOMEZ</t>
  </si>
  <si>
    <t>PARQUE LINEAL MAXIMO GOMEZ  (CEMENTERIO)</t>
  </si>
  <si>
    <t>MIRADOR DE ARROYO HONDO</t>
  </si>
  <si>
    <t>-69.944415</t>
  </si>
  <si>
    <t>18.5033573</t>
  </si>
  <si>
    <t>https://goo.gl/maps/oN9JSaQLyFUhdZJA8</t>
  </si>
  <si>
    <t>CAMINO CHIQUITO</t>
  </si>
  <si>
    <t>PLAZA ECUADOR</t>
  </si>
  <si>
    <t>-69.9406607</t>
  </si>
  <si>
    <t>18.4593498</t>
  </si>
  <si>
    <t>https://goo.gl/maps/qmjEJ4eN6tGhZRZS8</t>
  </si>
  <si>
    <t>PLAZA GUIBIA</t>
  </si>
  <si>
    <t>668.37</t>
  </si>
  <si>
    <t>URB ATALA</t>
  </si>
  <si>
    <t>-69.9417718</t>
  </si>
  <si>
    <t>18.445628</t>
  </si>
  <si>
    <t>https://goo.gl/maps/tmF32yZp2XCQG8QR6</t>
  </si>
  <si>
    <t>CALLE SAN JUAN BAUTISTA DE LA SALLE</t>
  </si>
  <si>
    <t>PARQUE ATALA</t>
  </si>
  <si>
    <t>LOS JARDINES</t>
  </si>
  <si>
    <t>-69.9618287</t>
  </si>
  <si>
    <t>18.4881655</t>
  </si>
  <si>
    <t>https://goo.gl/maps/RM1AoRtftwrav7Hx5</t>
  </si>
  <si>
    <t>AVE REPUBLICA DE COLOMBIA</t>
  </si>
  <si>
    <t>PLAZA JOSE MARTI (ESTATUA JOSE MARTI)</t>
  </si>
  <si>
    <t>-69.89694</t>
  </si>
  <si>
    <t>18.4736683</t>
  </si>
  <si>
    <t>https://goo.gl/maps/fupTxA3BGwFW7VYt8</t>
  </si>
  <si>
    <t>CALLE MOISES GARCIA</t>
  </si>
  <si>
    <t>PLAZA URUGUAY</t>
  </si>
  <si>
    <t>-69.8888986</t>
  </si>
  <si>
    <t>18.4756573</t>
  </si>
  <si>
    <t>https://goo.gl/maps/pA8PrJRVjmPELJQy6</t>
  </si>
  <si>
    <t>CALLE JOSE REYES</t>
  </si>
  <si>
    <t>PLAZA SAN MIGUEL</t>
  </si>
  <si>
    <t>-69.9308027</t>
  </si>
  <si>
    <t>18.4624244</t>
  </si>
  <si>
    <t>https://goo.gl/maps/Vy9RWZfj2kprMaMg9</t>
  </si>
  <si>
    <t>CALLE RESPALDO SEMINARIO</t>
  </si>
  <si>
    <t>PARQUE RESPALDO SEMINARIO</t>
  </si>
  <si>
    <t>Z0NA 05</t>
  </si>
  <si>
    <t>-69.9687166</t>
  </si>
  <si>
    <t>18.4960725</t>
  </si>
  <si>
    <t>https://goo.gl/maps/SJCSAmhw1MZYNjAJ8</t>
  </si>
  <si>
    <t>CALLE A.(los Rios)</t>
  </si>
  <si>
    <t>PARQUE LA YUCA (LOS RIOS)</t>
  </si>
  <si>
    <t>-69.8944498</t>
  </si>
  <si>
    <t>18.474511</t>
  </si>
  <si>
    <t xml:space="preserve">https://goo.gl/maps/XtkKFini3jVFYeR66 </t>
  </si>
  <si>
    <t>CALLE 16 DE AGOSTO ESQ.C/BENITO GONZALEZ</t>
  </si>
  <si>
    <t>PARQUE EDUARDO ABREU (SAN CARLOS)</t>
  </si>
  <si>
    <t>-69.9202515</t>
  </si>
  <si>
    <t>18.5075422</t>
  </si>
  <si>
    <t xml:space="preserve">https://goo.gl/maps/4frgHB4NybeAJ64H7 </t>
  </si>
  <si>
    <t>AVE. PASEO DE LOS REYES CATÓLICOS</t>
  </si>
  <si>
    <t>PARQUE PUERTO ISABELA (REYES CATOLICO)</t>
  </si>
  <si>
    <t>-69.9584773</t>
  </si>
  <si>
    <t>18.4985287</t>
  </si>
  <si>
    <t xml:space="preserve">https://goo.gl/maps/NLbUFK62rWtv1VPCA </t>
  </si>
  <si>
    <t>AVE. REPUBLICA DE COLOMBIA, ESQ. C/ CONQUISTADORES</t>
  </si>
  <si>
    <t>PLAZA  CONQUISTADORES</t>
  </si>
  <si>
    <t>-69.932942</t>
  </si>
  <si>
    <t>18.4890846</t>
  </si>
  <si>
    <t xml:space="preserve">https://goo.gl/maps/kVfxfipKGcpStG9d6 </t>
  </si>
  <si>
    <t>CALLE HECTOR HOMERO HERNANDEZ</t>
  </si>
  <si>
    <t>BUSTO HECTOR HOMERO HERNANDEZ</t>
  </si>
  <si>
    <t>-69.8897308</t>
  </si>
  <si>
    <t>18.4669553</t>
  </si>
  <si>
    <t>https://goo.gl/maps/W8avjYjiaYJowfSb8</t>
  </si>
  <si>
    <t>PLAZA PATRIOTICA PROF JUAN BOSCH (CONSTITUCION)</t>
  </si>
  <si>
    <t>-69.8944108</t>
  </si>
  <si>
    <t>18.4660669</t>
  </si>
  <si>
    <t>https://goo.gl/maps/KmvGvJobdrsbfjiLA</t>
  </si>
  <si>
    <t>PARQUE EUGENIO MARIA DE HOSTOS</t>
  </si>
  <si>
    <t>VILLA MARIA</t>
  </si>
  <si>
    <t>-69.923521</t>
  </si>
  <si>
    <t>18.458005</t>
  </si>
  <si>
    <t>https://maps.app.goo.gl/5u5G5D5NkeBrAtoT7</t>
  </si>
  <si>
    <t>CALLE GNERAL MODESTO DIAZ</t>
  </si>
  <si>
    <t>MONUMENTO A LOS MEDICOS</t>
  </si>
  <si>
    <t>-69.8998513</t>
  </si>
  <si>
    <t>18.4661673</t>
  </si>
  <si>
    <t>https://goo.gl/maps/3sNdsZLnk3tyWaWy6</t>
  </si>
  <si>
    <t>PASEO PRESIDENTE BILLINI</t>
  </si>
  <si>
    <t>BUSTO FRANK FELIX MIRANDA(Columna Conmemorativa Naufragio Balandra Aurora)</t>
  </si>
  <si>
    <t>MANGUITO</t>
  </si>
  <si>
    <t>-69.9359792</t>
  </si>
  <si>
    <t>18.4601937</t>
  </si>
  <si>
    <t>https://goo.gl/maps/9yqMrAgZWE3voRsA6</t>
  </si>
  <si>
    <t>AVE WINSTON CHURCHILL</t>
  </si>
  <si>
    <t>PLAZA CASANDRA DAMIRON</t>
  </si>
  <si>
    <t>KM 8 1/2</t>
  </si>
  <si>
    <t>-69.9631973</t>
  </si>
  <si>
    <t>18.4332137</t>
  </si>
  <si>
    <t>https://goo.gl/maps/dTixXoUMJZ17j8w28</t>
  </si>
  <si>
    <t xml:space="preserve">AVE INDEPENDENCIA </t>
  </si>
  <si>
    <t>AREA RECUPERADA /ELIMINACION DE VERTEDERO DEL KM 8 1/2</t>
  </si>
  <si>
    <t>-69.943122</t>
  </si>
  <si>
    <t>18.453377</t>
  </si>
  <si>
    <t>https://maps.app.goo.gl/dFkEVZhMmuNbBgLx7</t>
  </si>
  <si>
    <t>CALLE CESAR NICOLAS PENSON</t>
  </si>
  <si>
    <t>PLAZA RAFAEL  MARIA BARALT PEREZ</t>
  </si>
  <si>
    <t>-69.896313</t>
  </si>
  <si>
    <t>18.476209</t>
  </si>
  <si>
    <t>https://goo.gl/maps/XaVQkXBFKfvQhPcr8</t>
  </si>
  <si>
    <t>AVE 30 DE MARZO</t>
  </si>
  <si>
    <t>PARQUE JOSEFA MARIA MORELO Y PAVON (JESUS MIO/SEÑOR MIO)</t>
  </si>
  <si>
    <t>-69.886169</t>
  </si>
  <si>
    <t>18.4794962</t>
  </si>
  <si>
    <t>https://goo.gl/maps/g4LBNpRn3mwinmrq7</t>
  </si>
  <si>
    <t>AVE MELLA</t>
  </si>
  <si>
    <t>FUERTE DEL ANGULO  (SANTA BARBARA )</t>
  </si>
  <si>
    <t>-69.925850</t>
  </si>
  <si>
    <t>18,457919</t>
  </si>
  <si>
    <t>https://maps.app.goo.gl/gZGFmZtCD7kHphPU9</t>
  </si>
  <si>
    <t>JOSE CONTRERAS ESQ ABRAHAM LINCOLN</t>
  </si>
  <si>
    <t>PARQUE GALICIA</t>
  </si>
  <si>
    <t>152.2</t>
  </si>
  <si>
    <t>MIRAFLORES</t>
  </si>
  <si>
    <t>-69.9072282</t>
  </si>
  <si>
    <t>18.4816163</t>
  </si>
  <si>
    <t>https://goo.gl/maps/UzH4ufm12VqBCXtJ7</t>
  </si>
  <si>
    <t>AVE. LEOPOLDO NAVARRO</t>
  </si>
  <si>
    <t>PLAZA DEL HOMENAJE (PARQUE MAURICIO BAEZ)</t>
  </si>
  <si>
    <t>PLAZA DEL HOMENAJE (PARQUE SAN MARTIN)</t>
  </si>
  <si>
    <t>LA ZURZA</t>
  </si>
  <si>
    <t>-69.91493</t>
  </si>
  <si>
    <t>18.5017829</t>
  </si>
  <si>
    <t>https://goo.gl/maps/PzxjB6Vb1MLZdb8E6</t>
  </si>
  <si>
    <t>CALLE 38</t>
  </si>
  <si>
    <t>PARQUE JOSE RAMON  SANCHEZ (ZURZA II )</t>
  </si>
  <si>
    <t>-69.8884835</t>
  </si>
  <si>
    <t>18.4679340</t>
  </si>
  <si>
    <t>https://goo.gl/maps/Mab3LNfLiv5NywpY6</t>
  </si>
  <si>
    <t>PARQUE JUAN BOSCH</t>
  </si>
  <si>
    <t>-69.8898319</t>
  </si>
  <si>
    <t>18.4672731</t>
  </si>
  <si>
    <t>https://goo.gl/maps/vvWS5E97bsJE8Chd9</t>
  </si>
  <si>
    <t>OBELISCO HEMBRA (MONUMENTO A LA INDEPENDENCIA FINANCIERA)</t>
  </si>
  <si>
    <t>Procceso de intervencion por mal uso</t>
  </si>
  <si>
    <t>-69.8984829</t>
  </si>
  <si>
    <t>18.4829351</t>
  </si>
  <si>
    <t>https://goo.gl/maps/m1rJ9DdeLoTkSzs1A</t>
  </si>
  <si>
    <t>AVE. 27 DE FEBRERO ESQ TUNTI CACERES</t>
  </si>
  <si>
    <t>PARQUE BRAULIO ALVAREZ</t>
  </si>
  <si>
    <t>BARRIO AZUL</t>
  </si>
  <si>
    <t>-69.9628211</t>
  </si>
  <si>
    <t>18.4975045</t>
  </si>
  <si>
    <t>https://goo.gl/maps/Ed3L653LdN6vVy9bA</t>
  </si>
  <si>
    <t xml:space="preserve">CALLE SAN CRISTÓBAL </t>
  </si>
  <si>
    <t>PARQUE BARRIO AZUL</t>
  </si>
  <si>
    <t>86.7</t>
  </si>
  <si>
    <t>COSTA BRAVA</t>
  </si>
  <si>
    <t>-69,929804</t>
  </si>
  <si>
    <t>18,4452500</t>
  </si>
  <si>
    <t>https://maps.app.goo.gl/TX7CqAmHfvoAyx348</t>
  </si>
  <si>
    <t>CALLE AZUA</t>
  </si>
  <si>
    <t>PARQUE COSTA BRAVA</t>
  </si>
  <si>
    <t>LOS PRADITOS</t>
  </si>
  <si>
    <t>-69.9521889</t>
  </si>
  <si>
    <t>18.4692681</t>
  </si>
  <si>
    <t>https://goo.gl/maps/JsZnHCZsmghB2kaT9</t>
  </si>
  <si>
    <t>AVE. DR FERNANDO ALBERTO DEFILLO</t>
  </si>
  <si>
    <t>PARQUE LOS PRADITOS</t>
  </si>
  <si>
    <t>-69,914860</t>
  </si>
  <si>
    <t>18,505433</t>
  </si>
  <si>
    <t>https://maps.app.goo.gl/rqyVGWnXHS7BF9KH9</t>
  </si>
  <si>
    <t>AVE PASEO DE LOS REYES CATOLICOS</t>
  </si>
  <si>
    <t>PARQUE LA ZURZA</t>
  </si>
  <si>
    <t>-69.9222689</t>
  </si>
  <si>
    <t>18.4670462</t>
  </si>
  <si>
    <t>https://goo.gl/maps/TvHREEZXiMt7E4Gw7</t>
  </si>
  <si>
    <t>AVE. ALMA MATER ESQ. CESAR NICOLAS PENSON</t>
  </si>
  <si>
    <t>PARQUE IBEROAMERICA</t>
  </si>
  <si>
    <t>JARDINEs DEL NORTE</t>
  </si>
  <si>
    <t>-69,958176</t>
  </si>
  <si>
    <t>18,487906</t>
  </si>
  <si>
    <t>https://maps.app.goo.gl/N8wNjRQDnRW3yXcr7</t>
  </si>
  <si>
    <t>AVE LOS PROCERES PARALELAS CALLES CRISANTEMOS</t>
  </si>
  <si>
    <t>PARQUE CRISANTEMOS</t>
  </si>
  <si>
    <t>SAN LAZARO</t>
  </si>
  <si>
    <t>-69.8912811</t>
  </si>
  <si>
    <t>18.4742713</t>
  </si>
  <si>
    <t>https://goo.gl/maps/AS8eWfVhemNFz4ui7</t>
  </si>
  <si>
    <t>CALLE SANTOME ESQ CALLE JUAN ISIDRO PEREZ</t>
  </si>
  <si>
    <t>PARQUE SAN LAZARO</t>
  </si>
  <si>
    <t>-69.8896769</t>
  </si>
  <si>
    <t>18.4683237</t>
  </si>
  <si>
    <t>https://goo.gl/maps/XacrsvJzfVQiAn6b6</t>
  </si>
  <si>
    <t>CALLE ESTRELLETA</t>
  </si>
  <si>
    <t>PUERTA DE LA MISERICORDIA</t>
  </si>
  <si>
    <t>-69.8848076</t>
  </si>
  <si>
    <t>18.4715453</t>
  </si>
  <si>
    <t>https://goo.gl/maps/BnLKXTHGLGQBj3468</t>
  </si>
  <si>
    <t>CALLE PADRE BILLINI</t>
  </si>
  <si>
    <t>-69.9255562</t>
  </si>
  <si>
    <t>18.4476984</t>
  </si>
  <si>
    <t>https://goo.gl/maps/NXCZdWqTUTGf6BWg8</t>
  </si>
  <si>
    <t>AVE. JIMÉNEZ MOYA</t>
  </si>
  <si>
    <t>PASEO DE LOS ROBLES AMARILLOS</t>
  </si>
  <si>
    <t>-69.890074</t>
  </si>
  <si>
    <t>18.4761726</t>
  </si>
  <si>
    <t>https://goo.gl/maps/bBff5WMoSWS6Gt3r7</t>
  </si>
  <si>
    <t>PARQUE SAN MIGUEL</t>
  </si>
  <si>
    <t>-69.8863648</t>
  </si>
  <si>
    <t>18.4691782</t>
  </si>
  <si>
    <t>https://goo.gl/maps/hB4ZhvVFfMkwSfqL6</t>
  </si>
  <si>
    <t>PARQUE FUERTE SAN JOSE</t>
  </si>
  <si>
    <t>-69.9362207</t>
  </si>
  <si>
    <t>18.4450102</t>
  </si>
  <si>
    <t>https://goo.gl/maps/htdJnfz8BcjbSEBk8</t>
  </si>
  <si>
    <t xml:space="preserve">AVE. INDEPENDECIA ANT. DE LLEGAR AVE. ITALIA </t>
  </si>
  <si>
    <t>BOULEVARD DE HONDURAS</t>
  </si>
  <si>
    <t>-69.9254917</t>
  </si>
  <si>
    <t>18.4471271</t>
  </si>
  <si>
    <t>https://goo.gl/maps/Zon9QGqw7dkYoGmw8</t>
  </si>
  <si>
    <t>MONUMENTO A LOS MARTIRES DE LA PRENSA</t>
  </si>
  <si>
    <t>-69.8916709</t>
  </si>
  <si>
    <t>18.4671281</t>
  </si>
  <si>
    <t>https://goo.gl/maps/GfnxNJM35GLiVtPd8</t>
  </si>
  <si>
    <t>PASEO PRESIDENTE BILLINI ESQ ESTRELLETA</t>
  </si>
  <si>
    <t>PARQUE CERVANTES</t>
  </si>
  <si>
    <t>-69.8836797</t>
  </si>
  <si>
    <t>18.4713273</t>
  </si>
  <si>
    <t>https://goo.gl/maps/8aEZf1DgeVZY8Dsx5</t>
  </si>
  <si>
    <t>CALLE LAS DAMAS</t>
  </si>
  <si>
    <t>PARQUE ROSADO (PLAZA PELLERANO CASTRO)</t>
  </si>
  <si>
    <t>-69.9253714</t>
  </si>
  <si>
    <t>18.4468577</t>
  </si>
  <si>
    <t>https://goo.gl/maps/iTGxNPrLwzT8xAXf8</t>
  </si>
  <si>
    <t>PABELLON DE LAS NACIONES</t>
  </si>
  <si>
    <t>Fecha Proximo Mantenimiento</t>
  </si>
  <si>
    <t>Fecha Ultimo Mantenimiento</t>
  </si>
  <si>
    <t>Condicion Actual</t>
  </si>
  <si>
    <t>TIPO/ REMO</t>
  </si>
  <si>
    <t>Dif.</t>
  </si>
  <si>
    <t>Circ.</t>
  </si>
  <si>
    <t>ETAPAS</t>
  </si>
  <si>
    <t>AÑO</t>
  </si>
  <si>
    <t>MES</t>
  </si>
  <si>
    <t>DIA</t>
  </si>
  <si>
    <t>Fecha Inauguracion</t>
  </si>
  <si>
    <t>NEGOCIOS</t>
  </si>
  <si>
    <t>BUHONEROS</t>
  </si>
  <si>
    <t>MALLAS PERIMETRALES</t>
  </si>
  <si>
    <t>KARTING</t>
  </si>
  <si>
    <t>MURALES</t>
  </si>
  <si>
    <t>ALMACEN</t>
  </si>
  <si>
    <t>CISTERNA</t>
  </si>
  <si>
    <t>CONTENEDORES</t>
  </si>
  <si>
    <t>OFICINA</t>
  </si>
  <si>
    <t>PISTA DE BICICLETA</t>
  </si>
  <si>
    <t>BAÑOS</t>
  </si>
  <si>
    <t>PARQUE CANINO</t>
  </si>
  <si>
    <t>TINACO</t>
  </si>
  <si>
    <t>CANCHAS
DEPORTIVAS SOCCER</t>
  </si>
  <si>
    <t>CANCHAS DEPORTIVAS</t>
  </si>
  <si>
    <t>JARDINERAS</t>
  </si>
  <si>
    <t>ESTATUAS</t>
  </si>
  <si>
    <t>Señalecticas</t>
  </si>
  <si>
    <t>REFLECTORES</t>
  </si>
  <si>
    <t>BANDERAS</t>
  </si>
  <si>
    <t>SUPERFICIE AJARDINADA PERMEABLE</t>
  </si>
  <si>
    <t>NUEVAS ESPECIES ARBOLADO SEMBRADAS</t>
  </si>
  <si>
    <t>ARBOLADO EXISTENTE</t>
  </si>
  <si>
    <t>TOMACORRIENTE</t>
  </si>
  <si>
    <t>LLAVE DE AGUA</t>
  </si>
  <si>
    <t>MAQUINAS EJERCICIOS</t>
  </si>
  <si>
    <t>JUEGOS NIÑOS</t>
  </si>
  <si>
    <t>PAPELERAS</t>
  </si>
  <si>
    <t>MESA PICNIC</t>
  </si>
  <si>
    <t>BANCOS</t>
  </si>
  <si>
    <t>LUMINARIAS</t>
  </si>
  <si>
    <t>CAPILLA</t>
  </si>
  <si>
    <t>GAZEBO</t>
  </si>
  <si>
    <t>RAMPA ACCESIBILIDAD</t>
  </si>
  <si>
    <t>NORMAS GENERALES</t>
  </si>
  <si>
    <t>Letrero-Principal</t>
  </si>
  <si>
    <t>TIPO</t>
  </si>
  <si>
    <t>Aceras M2</t>
  </si>
  <si>
    <t>Contenes</t>
  </si>
  <si>
    <t>M2</t>
  </si>
  <si>
    <t>Localidad o barrio</t>
  </si>
  <si>
    <t>Longitud</t>
  </si>
  <si>
    <t>Latitud</t>
  </si>
  <si>
    <t>Enlace GoogleMap</t>
  </si>
  <si>
    <t>Dirección</t>
  </si>
  <si>
    <t>Nombre del Parque</t>
  </si>
  <si>
    <t xml:space="preserve">Zona /Lote </t>
  </si>
  <si>
    <t>Circunscripcion</t>
  </si>
  <si>
    <t>ID-Parque</t>
  </si>
  <si>
    <t>NO.</t>
  </si>
  <si>
    <t>Poblacion masculino</t>
  </si>
  <si>
    <t>Poblacion Femenino</t>
  </si>
  <si>
    <t>Poblacion Total</t>
  </si>
  <si>
    <t>SAN JUAN BOSCO</t>
  </si>
  <si>
    <t>DON HONORIO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</si>
</sst>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9" fontId="0" fillId="0" borderId="0" xfId="3" applyFont="1" applyAlignment="1">
      <alignment horizontal="left"/>
    </xf>
    <xf numFmtId="43" fontId="0" fillId="0" borderId="0" xfId="2" applyFont="1" applyAlignment="1">
      <alignment horizontal="left"/>
    </xf>
  </cellXfs>
  <cellStyles count="4">
    <cellStyle name="Millares" xfId="2" builtinId="3"/>
    <cellStyle name="Moneda 2" xfId="1" xr:uid="{00000000-0005-0000-0000-000000000000}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aps.app.goo.gl/17x7U8bsTQubzm5a9" TargetMode="External"/><Relationship Id="rId1" Type="http://schemas.openxmlformats.org/officeDocument/2006/relationships/hyperlink" Target="https://maps.app.goo.gl/nnqmvSBW8fZe8Lm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18"/>
  <sheetViews>
    <sheetView tabSelected="1" topLeftCell="H1" zoomScale="120" zoomScaleNormal="120" workbookViewId="0">
      <pane ySplit="1" topLeftCell="A189" activePane="bottomLeft" state="frozen"/>
      <selection activeCell="AS1" sqref="AS1"/>
      <selection pane="bottomLeft" activeCell="P210" sqref="P210"/>
    </sheetView>
  </sheetViews>
  <sheetFormatPr baseColWidth="10" defaultRowHeight="15" x14ac:dyDescent="0.25"/>
  <cols>
    <col min="1" max="1" width="5.7109375" style="1" bestFit="1" customWidth="1"/>
    <col min="2" max="2" width="13.7109375" style="1" bestFit="1" customWidth="1"/>
    <col min="3" max="3" width="20" style="1" customWidth="1"/>
    <col min="4" max="4" width="16.28515625" style="1" bestFit="1" customWidth="1"/>
    <col min="5" max="5" width="68.5703125" style="1" customWidth="1"/>
    <col min="6" max="6" width="83.28515625" style="1" bestFit="1" customWidth="1"/>
    <col min="7" max="7" width="56.7109375" style="1" bestFit="1" customWidth="1"/>
    <col min="8" max="8" width="15.5703125" style="1" customWidth="1"/>
    <col min="9" max="9" width="16.5703125" style="1" customWidth="1"/>
    <col min="10" max="10" width="47.42578125" style="1" bestFit="1" customWidth="1"/>
    <col min="11" max="11" width="15.5703125" style="1" bestFit="1" customWidth="1"/>
    <col min="12" max="12" width="12" style="1" bestFit="1" customWidth="1"/>
    <col min="13" max="13" width="10.5703125" style="1" customWidth="1"/>
    <col min="14" max="14" width="14.7109375" style="1" customWidth="1"/>
    <col min="15" max="15" width="13.85546875" style="1" customWidth="1"/>
    <col min="16" max="16" width="14.5703125" style="1" bestFit="1" customWidth="1"/>
    <col min="17" max="17" width="28" style="1" bestFit="1" customWidth="1"/>
    <col min="18" max="18" width="20.5703125" style="1" bestFit="1" customWidth="1"/>
    <col min="19" max="19" width="26" style="1" bestFit="1" customWidth="1"/>
    <col min="20" max="20" width="28.28515625" style="1" bestFit="1" customWidth="1"/>
    <col min="21" max="21" width="10.7109375" style="1" bestFit="1" customWidth="1"/>
    <col min="22" max="22" width="10.5703125" style="1" bestFit="1" customWidth="1"/>
    <col min="23" max="23" width="16.140625" style="1" bestFit="1" customWidth="1"/>
    <col min="24" max="24" width="11" style="1" bestFit="1" customWidth="1"/>
    <col min="25" max="25" width="16.140625" style="1" bestFit="1" customWidth="1"/>
    <col min="26" max="26" width="14.140625" style="1" bestFit="1" customWidth="1"/>
    <col min="27" max="27" width="18.28515625" style="1" bestFit="1" customWidth="1"/>
    <col min="28" max="28" width="28" style="1" bestFit="1" customWidth="1"/>
    <col min="29" max="29" width="19.28515625" style="1" bestFit="1" customWidth="1"/>
    <col min="30" max="30" width="21.7109375" style="1" bestFit="1" customWidth="1"/>
    <col min="31" max="31" width="27.140625" style="1" bestFit="1" customWidth="1"/>
    <col min="32" max="32" width="51.140625" style="1" bestFit="1" customWidth="1"/>
    <col min="33" max="33" width="45" style="1" bestFit="1" customWidth="1"/>
    <col min="34" max="34" width="14" style="1" bestFit="1" customWidth="1"/>
    <col min="35" max="35" width="16.7109375" style="1" bestFit="1" customWidth="1"/>
    <col min="36" max="36" width="15.28515625" style="1" bestFit="1" customWidth="1"/>
    <col min="37" max="37" width="12.85546875" style="1" bestFit="1" customWidth="1"/>
    <col min="38" max="38" width="15.5703125" style="1" bestFit="1" customWidth="1"/>
    <col min="39" max="39" width="35.5703125" style="1" customWidth="1"/>
    <col min="40" max="40" width="38.42578125" style="1" customWidth="1"/>
    <col min="41" max="41" width="10.140625" style="1" customWidth="1"/>
    <col min="42" max="42" width="21" style="1" customWidth="1"/>
    <col min="43" max="43" width="11.7109375" style="1" customWidth="1"/>
    <col min="44" max="44" width="23.42578125" style="1" customWidth="1"/>
    <col min="45" max="45" width="11.7109375" style="1" customWidth="1"/>
    <col min="46" max="46" width="20" style="1" customWidth="1"/>
    <col min="47" max="47" width="12.42578125" style="1" customWidth="1"/>
    <col min="48" max="48" width="12.85546875" style="1" customWidth="1"/>
    <col min="49" max="49" width="12.42578125" style="1" customWidth="1"/>
    <col min="50" max="50" width="11.5703125" style="1" customWidth="1"/>
    <col min="51" max="51" width="28.7109375" style="1" customWidth="1"/>
    <col min="52" max="52" width="16" style="1" customWidth="1"/>
    <col min="53" max="53" width="13.28515625" style="1" customWidth="1"/>
    <col min="54" max="54" width="23.28515625" style="1" customWidth="1"/>
    <col min="55" max="55" width="5.42578125" style="1" customWidth="1"/>
    <col min="56" max="56" width="15.140625" style="1" customWidth="1"/>
    <col min="57" max="57" width="7" style="1" customWidth="1"/>
    <col min="58" max="58" width="20.140625" style="1" customWidth="1"/>
    <col min="59" max="59" width="6.28515625" style="1" customWidth="1"/>
    <col min="60" max="60" width="5.28515625" style="1" customWidth="1"/>
    <col min="61" max="61" width="15.42578125" style="1" customWidth="1"/>
    <col min="62" max="62" width="43.28515625" style="1" customWidth="1"/>
    <col min="63" max="63" width="35.140625" style="1" customWidth="1"/>
    <col min="64" max="64" width="37" style="1" customWidth="1"/>
  </cols>
  <sheetData>
    <row r="1" spans="1:64" s="8" customFormat="1" ht="43.5" customHeight="1" x14ac:dyDescent="0.25">
      <c r="A1" s="7" t="s">
        <v>1197</v>
      </c>
      <c r="B1" s="7" t="s">
        <v>1196</v>
      </c>
      <c r="C1" s="7" t="s">
        <v>1195</v>
      </c>
      <c r="D1" s="7" t="s">
        <v>1194</v>
      </c>
      <c r="E1" s="7" t="s">
        <v>1193</v>
      </c>
      <c r="F1" s="7" t="s">
        <v>1192</v>
      </c>
      <c r="G1" s="7" t="s">
        <v>1191</v>
      </c>
      <c r="H1" s="7" t="s">
        <v>1190</v>
      </c>
      <c r="I1" s="7" t="s">
        <v>1189</v>
      </c>
      <c r="J1" s="7" t="s">
        <v>1188</v>
      </c>
      <c r="K1" s="7" t="s">
        <v>1187</v>
      </c>
      <c r="L1" s="7" t="s">
        <v>1186</v>
      </c>
      <c r="M1" s="7" t="s">
        <v>1185</v>
      </c>
      <c r="N1" s="7" t="s">
        <v>1198</v>
      </c>
      <c r="O1" s="7" t="s">
        <v>1199</v>
      </c>
      <c r="P1" s="7" t="s">
        <v>1200</v>
      </c>
      <c r="Q1" s="7" t="s">
        <v>1184</v>
      </c>
      <c r="R1" s="7" t="s">
        <v>1183</v>
      </c>
      <c r="S1" s="7" t="s">
        <v>1182</v>
      </c>
      <c r="T1" s="7" t="s">
        <v>1181</v>
      </c>
      <c r="U1" s="7" t="s">
        <v>1180</v>
      </c>
      <c r="V1" s="7" t="s">
        <v>1179</v>
      </c>
      <c r="W1" s="7" t="s">
        <v>1178</v>
      </c>
      <c r="X1" s="7" t="s">
        <v>1177</v>
      </c>
      <c r="Y1" s="7" t="s">
        <v>1176</v>
      </c>
      <c r="Z1" s="7" t="s">
        <v>1175</v>
      </c>
      <c r="AA1" s="7" t="s">
        <v>1174</v>
      </c>
      <c r="AB1" s="7" t="s">
        <v>1173</v>
      </c>
      <c r="AC1" s="7" t="s">
        <v>1172</v>
      </c>
      <c r="AD1" s="7" t="s">
        <v>1171</v>
      </c>
      <c r="AE1" s="7" t="s">
        <v>1170</v>
      </c>
      <c r="AF1" s="7" t="s">
        <v>1169</v>
      </c>
      <c r="AG1" s="7" t="s">
        <v>1168</v>
      </c>
      <c r="AH1" s="7" t="s">
        <v>1167</v>
      </c>
      <c r="AI1" s="7" t="s">
        <v>1166</v>
      </c>
      <c r="AJ1" s="7" t="s">
        <v>1165</v>
      </c>
      <c r="AK1" s="7" t="s">
        <v>1164</v>
      </c>
      <c r="AL1" s="7" t="s">
        <v>1163</v>
      </c>
      <c r="AM1" s="7" t="s">
        <v>1162</v>
      </c>
      <c r="AN1" s="7" t="s">
        <v>1161</v>
      </c>
      <c r="AO1" s="7" t="s">
        <v>1160</v>
      </c>
      <c r="AP1" s="7" t="s">
        <v>1159</v>
      </c>
      <c r="AQ1" s="7" t="s">
        <v>1158</v>
      </c>
      <c r="AR1" s="7" t="s">
        <v>1157</v>
      </c>
      <c r="AS1" s="7" t="s">
        <v>1156</v>
      </c>
      <c r="AT1" s="7" t="s">
        <v>1155</v>
      </c>
      <c r="AU1" s="7" t="s">
        <v>1154</v>
      </c>
      <c r="AV1" s="7" t="s">
        <v>1153</v>
      </c>
      <c r="AW1" s="7" t="s">
        <v>1152</v>
      </c>
      <c r="AX1" s="7" t="s">
        <v>1151</v>
      </c>
      <c r="AY1" s="7" t="s">
        <v>1150</v>
      </c>
      <c r="AZ1" s="7" t="s">
        <v>1149</v>
      </c>
      <c r="BA1" s="7" t="s">
        <v>1148</v>
      </c>
      <c r="BB1" s="7" t="s">
        <v>1147</v>
      </c>
      <c r="BC1" s="7" t="s">
        <v>1146</v>
      </c>
      <c r="BD1" s="7" t="s">
        <v>1145</v>
      </c>
      <c r="BE1" s="7" t="s">
        <v>1144</v>
      </c>
      <c r="BF1" s="7" t="s">
        <v>1143</v>
      </c>
      <c r="BG1" s="7" t="s">
        <v>1142</v>
      </c>
      <c r="BH1" s="7" t="s">
        <v>1141</v>
      </c>
      <c r="BI1" s="7" t="s">
        <v>1140</v>
      </c>
      <c r="BJ1" s="7" t="s">
        <v>1139</v>
      </c>
      <c r="BK1" s="7" t="s">
        <v>1138</v>
      </c>
      <c r="BL1" s="7" t="s">
        <v>1137</v>
      </c>
    </row>
    <row r="2" spans="1:64" ht="18.75" x14ac:dyDescent="0.25">
      <c r="A2" s="2">
        <v>1</v>
      </c>
      <c r="B2" s="2" t="str">
        <f t="shared" ref="B2:B65" si="0">CONCATENATE("ADN-P-",A2)</f>
        <v>ADN-P-1</v>
      </c>
      <c r="C2" s="2" t="s">
        <v>19</v>
      </c>
      <c r="D2" s="2" t="s">
        <v>47</v>
      </c>
      <c r="E2" s="2" t="s">
        <v>1136</v>
      </c>
      <c r="F2" s="2" t="s">
        <v>1104</v>
      </c>
      <c r="G2" s="2" t="s">
        <v>1135</v>
      </c>
      <c r="H2" s="2" t="s">
        <v>1134</v>
      </c>
      <c r="I2" s="2" t="s">
        <v>1133</v>
      </c>
      <c r="J2" s="2" t="s">
        <v>125</v>
      </c>
      <c r="K2" s="2">
        <v>3854</v>
      </c>
      <c r="L2" s="2">
        <v>452.69</v>
      </c>
      <c r="M2" s="2">
        <f>L2*2</f>
        <v>905.38</v>
      </c>
      <c r="N2" s="2">
        <v>30</v>
      </c>
      <c r="O2" s="2">
        <v>35</v>
      </c>
      <c r="P2" s="2">
        <f t="shared" ref="P2:P65" si="1">SUM(N2:O2)</f>
        <v>65</v>
      </c>
      <c r="Q2" s="2" t="s">
        <v>682</v>
      </c>
      <c r="R2" s="2">
        <v>1</v>
      </c>
      <c r="S2" s="2">
        <v>1</v>
      </c>
      <c r="T2" s="2">
        <v>5</v>
      </c>
      <c r="U2" s="2">
        <v>0</v>
      </c>
      <c r="V2" s="2">
        <v>0</v>
      </c>
      <c r="W2" s="2">
        <v>33</v>
      </c>
      <c r="X2" s="2">
        <v>6</v>
      </c>
      <c r="Y2" s="2">
        <v>0</v>
      </c>
      <c r="Z2" s="2">
        <v>5</v>
      </c>
      <c r="AA2" s="2">
        <v>0</v>
      </c>
      <c r="AB2" s="2">
        <v>0</v>
      </c>
      <c r="AC2" s="2">
        <v>1</v>
      </c>
      <c r="AD2" s="2">
        <v>3</v>
      </c>
      <c r="AE2" s="2">
        <v>20</v>
      </c>
      <c r="AF2" s="2">
        <v>20</v>
      </c>
      <c r="AG2" s="2">
        <v>592.46</v>
      </c>
      <c r="AH2" s="2">
        <v>52</v>
      </c>
      <c r="AI2" s="2">
        <v>13</v>
      </c>
      <c r="AJ2" s="2">
        <v>16</v>
      </c>
      <c r="AK2" s="2">
        <v>1</v>
      </c>
      <c r="AL2" s="2">
        <v>4</v>
      </c>
      <c r="AM2" s="2">
        <v>0</v>
      </c>
      <c r="AN2" s="2">
        <v>0</v>
      </c>
      <c r="AO2" s="2">
        <v>2</v>
      </c>
      <c r="AP2" s="2">
        <v>0</v>
      </c>
      <c r="AQ2" s="2">
        <v>2</v>
      </c>
      <c r="AR2" s="2">
        <v>0</v>
      </c>
      <c r="AS2" s="2">
        <v>0</v>
      </c>
      <c r="AT2" s="2">
        <v>0</v>
      </c>
      <c r="AU2" s="2">
        <v>0</v>
      </c>
      <c r="AV2" s="2">
        <v>1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3">
        <f>DATE(BE2, MATCH(TRIM(BD2), {"ENERO";"FEBRERO";"MARZO";"ABRIL";"MAYO";"JUNIO";"JULIO";"AGOSTO";"SEPTIEMBRE";"OCTUBRE";"NOVIEMBRE";"DICIEMBRE"}, 0), BC2)</f>
        <v>44252</v>
      </c>
      <c r="BC2" s="2">
        <v>25</v>
      </c>
      <c r="BD2" s="2" t="s">
        <v>484</v>
      </c>
      <c r="BE2" s="2">
        <v>2021</v>
      </c>
      <c r="BF2" s="2"/>
      <c r="BG2" s="2">
        <v>1</v>
      </c>
      <c r="BH2" s="2">
        <v>1</v>
      </c>
      <c r="BI2" s="2" t="s">
        <v>143</v>
      </c>
      <c r="BJ2" s="2" t="s">
        <v>0</v>
      </c>
      <c r="BK2" s="2"/>
      <c r="BL2" s="2"/>
    </row>
    <row r="3" spans="1:64" ht="18.75" x14ac:dyDescent="0.25">
      <c r="A3" s="2">
        <v>2</v>
      </c>
      <c r="B3" s="2" t="str">
        <f t="shared" si="0"/>
        <v>ADN-P-2</v>
      </c>
      <c r="C3" s="2" t="s">
        <v>19</v>
      </c>
      <c r="D3" s="2" t="s">
        <v>137</v>
      </c>
      <c r="E3" s="2" t="s">
        <v>1132</v>
      </c>
      <c r="F3" s="2" t="s">
        <v>1131</v>
      </c>
      <c r="G3" s="2" t="s">
        <v>1130</v>
      </c>
      <c r="H3" s="2" t="s">
        <v>1129</v>
      </c>
      <c r="I3" s="2" t="s">
        <v>1128</v>
      </c>
      <c r="J3" s="2" t="s">
        <v>840</v>
      </c>
      <c r="K3" s="2">
        <v>1314.46</v>
      </c>
      <c r="L3" s="2">
        <v>53.84</v>
      </c>
      <c r="M3" s="2">
        <v>107.68</v>
      </c>
      <c r="N3" s="2">
        <v>2489</v>
      </c>
      <c r="O3" s="2">
        <v>3046</v>
      </c>
      <c r="P3" s="2">
        <f t="shared" si="1"/>
        <v>5535</v>
      </c>
      <c r="Q3" s="2" t="s">
        <v>86</v>
      </c>
      <c r="R3" s="2">
        <v>1</v>
      </c>
      <c r="S3" s="2">
        <v>0</v>
      </c>
      <c r="T3" s="2">
        <v>2</v>
      </c>
      <c r="U3" s="2">
        <v>0</v>
      </c>
      <c r="V3" s="2">
        <v>0</v>
      </c>
      <c r="W3" s="2">
        <v>6</v>
      </c>
      <c r="X3" s="2">
        <v>7</v>
      </c>
      <c r="Y3" s="2">
        <v>0</v>
      </c>
      <c r="Z3" s="2">
        <v>4</v>
      </c>
      <c r="AA3" s="2">
        <v>3</v>
      </c>
      <c r="AB3" s="2">
        <v>0</v>
      </c>
      <c r="AC3" s="2">
        <v>0</v>
      </c>
      <c r="AD3" s="2">
        <v>0</v>
      </c>
      <c r="AE3" s="2">
        <v>13</v>
      </c>
      <c r="AF3" s="2">
        <v>13</v>
      </c>
      <c r="AG3" s="2">
        <v>0</v>
      </c>
      <c r="AH3" s="2">
        <v>0</v>
      </c>
      <c r="AI3" s="2">
        <v>3</v>
      </c>
      <c r="AJ3" s="2">
        <v>24</v>
      </c>
      <c r="AK3" s="2">
        <v>1</v>
      </c>
      <c r="AL3" s="2">
        <v>9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3">
        <f>DATE(BE3, MATCH(TRIM(BD3), {"ENERO";"FEBRERO";"MARZO";"ABRIL";"MAYO";"JUNIO";"JULIO";"AGOSTO";"SEPTIEMBRE";"OCTUBRE";"NOVIEMBRE";"DICIEMBRE"}, 0), BC3)</f>
        <v>44307</v>
      </c>
      <c r="BC3" s="2">
        <v>21</v>
      </c>
      <c r="BD3" s="2" t="s">
        <v>93</v>
      </c>
      <c r="BE3" s="2">
        <v>2021</v>
      </c>
      <c r="BF3" s="2"/>
      <c r="BG3" s="2">
        <v>1</v>
      </c>
      <c r="BH3" s="2">
        <v>1</v>
      </c>
      <c r="BI3" s="2" t="s">
        <v>143</v>
      </c>
      <c r="BJ3" s="2" t="s">
        <v>0</v>
      </c>
      <c r="BK3" s="2"/>
      <c r="BL3" s="2"/>
    </row>
    <row r="4" spans="1:64" ht="18.75" x14ac:dyDescent="0.25">
      <c r="A4" s="2">
        <v>3</v>
      </c>
      <c r="B4" s="2" t="str">
        <f t="shared" si="0"/>
        <v>ADN-P-3</v>
      </c>
      <c r="C4" s="2" t="s">
        <v>19</v>
      </c>
      <c r="D4" s="2" t="s">
        <v>137</v>
      </c>
      <c r="E4" s="2" t="s">
        <v>1127</v>
      </c>
      <c r="F4" s="2" t="s">
        <v>1126</v>
      </c>
      <c r="G4" s="2" t="s">
        <v>1125</v>
      </c>
      <c r="H4" s="2" t="s">
        <v>1124</v>
      </c>
      <c r="I4" s="2" t="s">
        <v>1123</v>
      </c>
      <c r="J4" s="2" t="s">
        <v>683</v>
      </c>
      <c r="K4" s="2">
        <v>2448.63</v>
      </c>
      <c r="L4" s="2">
        <v>222.75</v>
      </c>
      <c r="M4" s="2">
        <v>445.5</v>
      </c>
      <c r="N4" s="2">
        <v>1419</v>
      </c>
      <c r="O4" s="2">
        <v>1553</v>
      </c>
      <c r="P4" s="2">
        <f t="shared" si="1"/>
        <v>2972</v>
      </c>
      <c r="Q4" s="2" t="s">
        <v>86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7</v>
      </c>
      <c r="X4" s="2">
        <v>32</v>
      </c>
      <c r="Y4" s="2">
        <v>0</v>
      </c>
      <c r="Z4" s="2">
        <v>9</v>
      </c>
      <c r="AA4" s="2">
        <v>0</v>
      </c>
      <c r="AB4" s="2">
        <v>0</v>
      </c>
      <c r="AC4" s="2">
        <v>0</v>
      </c>
      <c r="AD4" s="2">
        <v>0</v>
      </c>
      <c r="AE4" s="2">
        <v>24</v>
      </c>
      <c r="AF4" s="2">
        <v>24</v>
      </c>
      <c r="AG4" s="2">
        <v>363.4</v>
      </c>
      <c r="AH4" s="2">
        <v>0</v>
      </c>
      <c r="AI4" s="2">
        <v>1</v>
      </c>
      <c r="AJ4" s="2">
        <v>3</v>
      </c>
      <c r="AK4" s="2">
        <v>2</v>
      </c>
      <c r="AL4" s="2">
        <v>1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3">
        <f>DATE(BE4, MATCH(TRIM(BD4), {"ENERO";"FEBRERO";"MARZO";"ABRIL";"MAYO";"JUNIO";"JULIO";"AGOSTO";"SEPTIEMBRE";"OCTUBRE";"NOVIEMBRE";"DICIEMBRE"}, 0), BC4)</f>
        <v>44300</v>
      </c>
      <c r="BC4" s="2">
        <v>14</v>
      </c>
      <c r="BD4" s="2" t="s">
        <v>93</v>
      </c>
      <c r="BE4" s="2">
        <v>2021</v>
      </c>
      <c r="BF4" s="2"/>
      <c r="BG4" s="2">
        <v>1</v>
      </c>
      <c r="BH4" s="2">
        <v>1</v>
      </c>
      <c r="BI4" s="2" t="s">
        <v>143</v>
      </c>
      <c r="BJ4" s="2" t="s">
        <v>0</v>
      </c>
      <c r="BK4" s="2"/>
      <c r="BL4" s="2"/>
    </row>
    <row r="5" spans="1:64" ht="18.75" x14ac:dyDescent="0.25">
      <c r="A5" s="2">
        <v>4</v>
      </c>
      <c r="B5" s="2" t="str">
        <f t="shared" si="0"/>
        <v>ADN-P-4</v>
      </c>
      <c r="C5" s="2" t="s">
        <v>19</v>
      </c>
      <c r="D5" s="2" t="s">
        <v>47</v>
      </c>
      <c r="E5" s="2" t="s">
        <v>1122</v>
      </c>
      <c r="F5" s="2" t="s">
        <v>129</v>
      </c>
      <c r="G5" s="2" t="s">
        <v>1121</v>
      </c>
      <c r="H5" s="2" t="s">
        <v>1120</v>
      </c>
      <c r="I5" s="2" t="s">
        <v>1119</v>
      </c>
      <c r="J5" s="2" t="s">
        <v>125</v>
      </c>
      <c r="K5" s="2">
        <v>355</v>
      </c>
      <c r="L5" s="2">
        <v>74.8</v>
      </c>
      <c r="M5" s="2">
        <v>149.6</v>
      </c>
      <c r="N5" s="2">
        <v>30</v>
      </c>
      <c r="O5" s="2">
        <v>35</v>
      </c>
      <c r="P5" s="2">
        <f t="shared" si="1"/>
        <v>65</v>
      </c>
      <c r="Q5" s="2" t="s">
        <v>682</v>
      </c>
      <c r="R5" s="2">
        <v>2</v>
      </c>
      <c r="S5" s="2">
        <v>0</v>
      </c>
      <c r="T5" s="2">
        <v>1</v>
      </c>
      <c r="U5" s="2">
        <v>1</v>
      </c>
      <c r="V5" s="2">
        <v>0</v>
      </c>
      <c r="W5" s="2">
        <v>3</v>
      </c>
      <c r="X5" s="2">
        <v>4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6</v>
      </c>
      <c r="AF5" s="2">
        <v>6</v>
      </c>
      <c r="AG5" s="2">
        <v>18</v>
      </c>
      <c r="AH5" s="2">
        <v>2</v>
      </c>
      <c r="AI5" s="2">
        <v>2</v>
      </c>
      <c r="AJ5" s="2">
        <v>0</v>
      </c>
      <c r="AK5" s="2">
        <v>0</v>
      </c>
      <c r="AL5" s="2">
        <v>1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3">
        <f>DATE(BE5, MATCH(TRIM(BD5), {"ENERO";"FEBRERO";"MARZO";"ABRIL";"MAYO";"JUNIO";"JULIO";"AGOSTO";"SEPTIEMBRE";"OCTUBRE";"NOVIEMBRE";"DICIEMBRE"}, 0), BC5)</f>
        <v>44307</v>
      </c>
      <c r="BC5" s="2">
        <v>21</v>
      </c>
      <c r="BD5" s="2" t="s">
        <v>93</v>
      </c>
      <c r="BE5" s="2">
        <v>2021</v>
      </c>
      <c r="BF5" s="2"/>
      <c r="BG5" s="2">
        <v>1</v>
      </c>
      <c r="BH5" s="2">
        <v>1</v>
      </c>
      <c r="BI5" s="2" t="s">
        <v>143</v>
      </c>
      <c r="BJ5" s="2" t="s">
        <v>0</v>
      </c>
      <c r="BK5" s="2"/>
      <c r="BL5" s="2"/>
    </row>
    <row r="6" spans="1:64" ht="18.75" x14ac:dyDescent="0.25">
      <c r="A6" s="2">
        <v>5</v>
      </c>
      <c r="B6" s="2" t="str">
        <f t="shared" si="0"/>
        <v>ADN-P-5</v>
      </c>
      <c r="C6" s="2" t="s">
        <v>19</v>
      </c>
      <c r="D6" s="2" t="s">
        <v>47</v>
      </c>
      <c r="E6" s="2" t="s">
        <v>1118</v>
      </c>
      <c r="F6" s="2" t="s">
        <v>1117</v>
      </c>
      <c r="G6" s="2" t="s">
        <v>1116</v>
      </c>
      <c r="H6" s="2" t="s">
        <v>1115</v>
      </c>
      <c r="I6" s="2" t="s">
        <v>1114</v>
      </c>
      <c r="J6" s="2" t="s">
        <v>337</v>
      </c>
      <c r="K6" s="2">
        <v>2187</v>
      </c>
      <c r="L6" s="2">
        <v>860.12</v>
      </c>
      <c r="M6" s="2">
        <v>1720.24</v>
      </c>
      <c r="N6" s="2">
        <v>2347</v>
      </c>
      <c r="O6" s="2">
        <v>2904</v>
      </c>
      <c r="P6" s="2">
        <f t="shared" si="1"/>
        <v>5251</v>
      </c>
      <c r="Q6" s="2" t="s">
        <v>660</v>
      </c>
      <c r="R6" s="2">
        <v>2</v>
      </c>
      <c r="S6" s="2">
        <v>0</v>
      </c>
      <c r="T6" s="2">
        <v>8</v>
      </c>
      <c r="U6" s="2">
        <v>0</v>
      </c>
      <c r="V6" s="2">
        <v>0</v>
      </c>
      <c r="W6" s="2">
        <v>23</v>
      </c>
      <c r="X6" s="2">
        <v>15</v>
      </c>
      <c r="Y6" s="2">
        <v>0</v>
      </c>
      <c r="Z6" s="2">
        <v>9</v>
      </c>
      <c r="AA6" s="2">
        <v>0</v>
      </c>
      <c r="AB6" s="2">
        <v>0</v>
      </c>
      <c r="AC6" s="2">
        <v>0</v>
      </c>
      <c r="AD6" s="2">
        <v>0</v>
      </c>
      <c r="AE6" s="2">
        <v>60</v>
      </c>
      <c r="AF6" s="2">
        <v>60</v>
      </c>
      <c r="AG6" s="2">
        <v>900</v>
      </c>
      <c r="AH6" s="2">
        <v>0</v>
      </c>
      <c r="AI6" s="2">
        <v>0</v>
      </c>
      <c r="AJ6" s="2">
        <v>22</v>
      </c>
      <c r="AK6" s="2">
        <v>0</v>
      </c>
      <c r="AL6" s="2">
        <v>1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3">
        <f>DATE(BE6, MATCH(TRIM(BD6), {"ENERO";"FEBRERO";"MARZO";"ABRIL";"MAYO";"JUNIO";"JULIO";"AGOSTO";"SEPTIEMBRE";"OCTUBRE";"NOVIEMBRE";"DICIEMBRE"}, 0), BC6)</f>
        <v>44305</v>
      </c>
      <c r="BC6" s="2">
        <v>19</v>
      </c>
      <c r="BD6" s="2" t="s">
        <v>93</v>
      </c>
      <c r="BE6" s="2">
        <v>2021</v>
      </c>
      <c r="BF6" s="2"/>
      <c r="BG6" s="2">
        <v>1</v>
      </c>
      <c r="BH6" s="2">
        <v>1</v>
      </c>
      <c r="BI6" s="2" t="s">
        <v>1</v>
      </c>
      <c r="BJ6" s="2" t="s">
        <v>0</v>
      </c>
      <c r="BK6" s="2"/>
      <c r="BL6" s="2"/>
    </row>
    <row r="7" spans="1:64" ht="18.75" x14ac:dyDescent="0.25">
      <c r="A7" s="2">
        <v>6</v>
      </c>
      <c r="B7" s="2" t="str">
        <f t="shared" si="0"/>
        <v>ADN-P-6</v>
      </c>
      <c r="C7" s="2" t="s">
        <v>19</v>
      </c>
      <c r="D7" s="2" t="s">
        <v>137</v>
      </c>
      <c r="E7" s="2" t="s">
        <v>1113</v>
      </c>
      <c r="F7" s="2" t="s">
        <v>687</v>
      </c>
      <c r="G7" s="2" t="s">
        <v>1112</v>
      </c>
      <c r="H7" s="2" t="s">
        <v>1111</v>
      </c>
      <c r="I7" s="2" t="s">
        <v>1110</v>
      </c>
      <c r="J7" s="2" t="s">
        <v>840</v>
      </c>
      <c r="K7" s="2">
        <v>8788</v>
      </c>
      <c r="L7" s="2">
        <v>508.17</v>
      </c>
      <c r="M7" s="2">
        <v>1016.34</v>
      </c>
      <c r="N7" s="2">
        <v>2489</v>
      </c>
      <c r="O7" s="2">
        <v>3046</v>
      </c>
      <c r="P7" s="2">
        <f t="shared" si="1"/>
        <v>5535</v>
      </c>
      <c r="Q7" s="2" t="s">
        <v>86</v>
      </c>
      <c r="R7" s="2">
        <v>2</v>
      </c>
      <c r="S7" s="2">
        <v>0</v>
      </c>
      <c r="T7" s="2">
        <v>0</v>
      </c>
      <c r="U7" s="2">
        <v>0</v>
      </c>
      <c r="V7" s="2">
        <v>0</v>
      </c>
      <c r="W7" s="2">
        <v>56</v>
      </c>
      <c r="X7" s="2">
        <v>9</v>
      </c>
      <c r="Y7" s="2">
        <v>0</v>
      </c>
      <c r="Z7" s="2">
        <v>5</v>
      </c>
      <c r="AA7" s="2">
        <v>0</v>
      </c>
      <c r="AB7" s="2">
        <v>0</v>
      </c>
      <c r="AC7" s="2">
        <v>0</v>
      </c>
      <c r="AD7" s="2">
        <v>0</v>
      </c>
      <c r="AE7" s="2">
        <v>10</v>
      </c>
      <c r="AF7" s="2">
        <v>10</v>
      </c>
      <c r="AG7" s="2">
        <v>125.1</v>
      </c>
      <c r="AH7" s="2">
        <v>0</v>
      </c>
      <c r="AI7" s="2">
        <v>0</v>
      </c>
      <c r="AJ7" s="2">
        <v>0</v>
      </c>
      <c r="AK7" s="2">
        <v>3</v>
      </c>
      <c r="AL7" s="2">
        <v>7</v>
      </c>
      <c r="AM7" s="2">
        <v>1</v>
      </c>
      <c r="AN7" s="2">
        <v>1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3">
        <f>DATE(BE7, MATCH(TRIM(BD7), {"ENERO";"FEBRERO";"MARZO";"ABRIL";"MAYO";"JUNIO";"JULIO";"AGOSTO";"SEPTIEMBRE";"OCTUBRE";"NOVIEMBRE";"DICIEMBRE"}, 0), BC7)</f>
        <v>44306</v>
      </c>
      <c r="BC7" s="2">
        <v>20</v>
      </c>
      <c r="BD7" s="2" t="s">
        <v>93</v>
      </c>
      <c r="BE7" s="2">
        <v>2021</v>
      </c>
      <c r="BF7" s="2"/>
      <c r="BG7" s="2">
        <v>1</v>
      </c>
      <c r="BH7" s="2">
        <v>1</v>
      </c>
      <c r="BI7" s="2" t="s">
        <v>143</v>
      </c>
      <c r="BJ7" s="2" t="s">
        <v>0</v>
      </c>
      <c r="BK7" s="2"/>
      <c r="BL7" s="2"/>
    </row>
    <row r="8" spans="1:64" ht="18.75" x14ac:dyDescent="0.25">
      <c r="A8" s="2">
        <v>7</v>
      </c>
      <c r="B8" s="2" t="str">
        <f t="shared" si="0"/>
        <v>ADN-P-7</v>
      </c>
      <c r="C8" s="2" t="s">
        <v>19</v>
      </c>
      <c r="D8" s="2" t="s">
        <v>137</v>
      </c>
      <c r="E8" s="2" t="s">
        <v>1109</v>
      </c>
      <c r="F8" s="2" t="s">
        <v>939</v>
      </c>
      <c r="G8" s="2" t="s">
        <v>1108</v>
      </c>
      <c r="H8" s="2" t="s">
        <v>1107</v>
      </c>
      <c r="I8" s="2" t="s">
        <v>1106</v>
      </c>
      <c r="J8" s="2" t="s">
        <v>840</v>
      </c>
      <c r="K8" s="2">
        <v>1402</v>
      </c>
      <c r="L8" s="2">
        <v>85.44</v>
      </c>
      <c r="M8" s="2">
        <v>170.88</v>
      </c>
      <c r="N8" s="2">
        <v>2489</v>
      </c>
      <c r="O8" s="2">
        <v>3046</v>
      </c>
      <c r="P8" s="2">
        <f t="shared" si="1"/>
        <v>5535</v>
      </c>
      <c r="Q8" s="2" t="s">
        <v>86</v>
      </c>
      <c r="R8" s="2">
        <v>1</v>
      </c>
      <c r="S8" s="2">
        <v>0</v>
      </c>
      <c r="T8" s="2">
        <v>1</v>
      </c>
      <c r="U8" s="2">
        <v>0</v>
      </c>
      <c r="V8" s="2">
        <v>0</v>
      </c>
      <c r="W8" s="2">
        <v>9</v>
      </c>
      <c r="X8" s="2">
        <v>18</v>
      </c>
      <c r="Y8" s="2">
        <v>0</v>
      </c>
      <c r="Z8" s="2">
        <v>4</v>
      </c>
      <c r="AA8" s="2">
        <v>0</v>
      </c>
      <c r="AB8" s="2">
        <v>0</v>
      </c>
      <c r="AC8" s="2">
        <v>0</v>
      </c>
      <c r="AD8" s="2">
        <v>0</v>
      </c>
      <c r="AE8" s="2">
        <v>7</v>
      </c>
      <c r="AF8" s="2">
        <v>7</v>
      </c>
      <c r="AG8" s="2">
        <v>90.1</v>
      </c>
      <c r="AH8" s="2">
        <v>1</v>
      </c>
      <c r="AI8" s="2">
        <v>10</v>
      </c>
      <c r="AJ8" s="2">
        <v>9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3">
        <f>DATE(BE8, MATCH(TRIM(BD8), {"ENERO";"FEBRERO";"MARZO";"ABRIL";"MAYO";"JUNIO";"JULIO";"AGOSTO";"SEPTIEMBRE";"OCTUBRE";"NOVIEMBRE";"DICIEMBRE"}, 0), BC8)</f>
        <v>44315</v>
      </c>
      <c r="BC8" s="2">
        <v>29</v>
      </c>
      <c r="BD8" s="2" t="s">
        <v>93</v>
      </c>
      <c r="BE8" s="2">
        <v>2021</v>
      </c>
      <c r="BF8" s="2"/>
      <c r="BG8" s="2">
        <v>1</v>
      </c>
      <c r="BH8" s="2">
        <v>1</v>
      </c>
      <c r="BI8" s="2" t="s">
        <v>143</v>
      </c>
      <c r="BJ8" s="2" t="s">
        <v>0</v>
      </c>
      <c r="BK8" s="2"/>
      <c r="BL8" s="2"/>
    </row>
    <row r="9" spans="1:64" ht="18.75" x14ac:dyDescent="0.25">
      <c r="A9" s="2">
        <v>8</v>
      </c>
      <c r="B9" s="2" t="str">
        <f t="shared" si="0"/>
        <v>ADN-P-8</v>
      </c>
      <c r="C9" s="2" t="s">
        <v>19</v>
      </c>
      <c r="D9" s="2" t="s">
        <v>47</v>
      </c>
      <c r="E9" s="2" t="s">
        <v>1105</v>
      </c>
      <c r="F9" s="2" t="s">
        <v>1104</v>
      </c>
      <c r="G9" s="2" t="s">
        <v>1103</v>
      </c>
      <c r="H9" s="2" t="s">
        <v>1102</v>
      </c>
      <c r="I9" s="2" t="s">
        <v>1101</v>
      </c>
      <c r="J9" s="2" t="s">
        <v>125</v>
      </c>
      <c r="K9" s="2">
        <v>718</v>
      </c>
      <c r="L9" s="2">
        <v>170.71</v>
      </c>
      <c r="M9" s="2">
        <v>597.48500000000001</v>
      </c>
      <c r="N9" s="2">
        <v>30</v>
      </c>
      <c r="O9" s="2">
        <v>35</v>
      </c>
      <c r="P9" s="2">
        <f t="shared" si="1"/>
        <v>65</v>
      </c>
      <c r="Q9" s="2" t="s">
        <v>86</v>
      </c>
      <c r="R9" s="2">
        <v>2</v>
      </c>
      <c r="S9" s="2">
        <v>0</v>
      </c>
      <c r="T9" s="2">
        <v>2</v>
      </c>
      <c r="U9" s="2">
        <v>0</v>
      </c>
      <c r="V9" s="2">
        <v>0</v>
      </c>
      <c r="W9" s="2">
        <v>4</v>
      </c>
      <c r="X9" s="2">
        <v>16</v>
      </c>
      <c r="Y9" s="2">
        <v>0</v>
      </c>
      <c r="Z9" s="2">
        <v>2</v>
      </c>
      <c r="AA9" s="2">
        <v>0</v>
      </c>
      <c r="AB9" s="2">
        <v>0</v>
      </c>
      <c r="AC9" s="2">
        <v>0</v>
      </c>
      <c r="AD9" s="2">
        <v>0</v>
      </c>
      <c r="AE9" s="2">
        <v>25</v>
      </c>
      <c r="AF9" s="2">
        <v>25</v>
      </c>
      <c r="AG9" s="2">
        <v>205.62</v>
      </c>
      <c r="AH9" s="2">
        <v>0</v>
      </c>
      <c r="AI9" s="2">
        <v>0</v>
      </c>
      <c r="AJ9" s="2">
        <v>8</v>
      </c>
      <c r="AK9" s="2">
        <v>0</v>
      </c>
      <c r="AL9" s="2">
        <v>3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3">
        <f>DATE(BE9, MATCH(TRIM(BD9), {"ENERO";"FEBRERO";"MARZO";"ABRIL";"MAYO";"JUNIO";"JULIO";"AGOSTO";"SEPTIEMBRE";"OCTUBRE";"NOVIEMBRE";"DICIEMBRE"}, 0), BC9)</f>
        <v>44305</v>
      </c>
      <c r="BC9" s="2">
        <v>19</v>
      </c>
      <c r="BD9" s="2" t="s">
        <v>93</v>
      </c>
      <c r="BE9" s="2">
        <v>2021</v>
      </c>
      <c r="BF9" s="2"/>
      <c r="BG9" s="2">
        <v>1</v>
      </c>
      <c r="BH9" s="2">
        <v>1</v>
      </c>
      <c r="BI9" s="2" t="s">
        <v>1</v>
      </c>
      <c r="BJ9" s="2" t="s">
        <v>0</v>
      </c>
      <c r="BK9" s="2"/>
      <c r="BL9" s="2"/>
    </row>
    <row r="10" spans="1:64" ht="18.75" x14ac:dyDescent="0.25">
      <c r="A10" s="2">
        <v>9</v>
      </c>
      <c r="B10" s="2" t="str">
        <f t="shared" si="0"/>
        <v>ADN-P-9</v>
      </c>
      <c r="C10" s="2" t="s">
        <v>19</v>
      </c>
      <c r="D10" s="2" t="s">
        <v>137</v>
      </c>
      <c r="E10" s="2" t="s">
        <v>989</v>
      </c>
      <c r="F10" s="2" t="s">
        <v>1100</v>
      </c>
      <c r="G10" s="2" t="s">
        <v>1099</v>
      </c>
      <c r="H10" s="2" t="s">
        <v>1098</v>
      </c>
      <c r="I10" s="2" t="s">
        <v>1097</v>
      </c>
      <c r="J10" s="2" t="s">
        <v>840</v>
      </c>
      <c r="K10" s="2">
        <v>943.66</v>
      </c>
      <c r="L10" s="2">
        <v>61.76</v>
      </c>
      <c r="M10" s="2">
        <v>123.52</v>
      </c>
      <c r="N10" s="2">
        <v>2489</v>
      </c>
      <c r="O10" s="2">
        <v>3046</v>
      </c>
      <c r="P10" s="2">
        <f t="shared" si="1"/>
        <v>5535</v>
      </c>
      <c r="Q10" s="2" t="s">
        <v>86</v>
      </c>
      <c r="R10" s="2">
        <v>1</v>
      </c>
      <c r="S10" s="2">
        <v>0</v>
      </c>
      <c r="T10" s="2">
        <v>2</v>
      </c>
      <c r="U10" s="2">
        <v>0</v>
      </c>
      <c r="V10" s="2">
        <v>0</v>
      </c>
      <c r="W10" s="2">
        <v>0</v>
      </c>
      <c r="X10" s="2">
        <v>15</v>
      </c>
      <c r="Y10" s="2">
        <v>0</v>
      </c>
      <c r="Z10" s="2">
        <v>3</v>
      </c>
      <c r="AA10" s="2">
        <v>0</v>
      </c>
      <c r="AB10" s="2">
        <v>0</v>
      </c>
      <c r="AC10" s="2">
        <v>0</v>
      </c>
      <c r="AD10" s="2">
        <v>0</v>
      </c>
      <c r="AE10" s="2">
        <v>6</v>
      </c>
      <c r="AF10" s="2">
        <v>6</v>
      </c>
      <c r="AG10" s="2">
        <v>0</v>
      </c>
      <c r="AH10" s="2">
        <v>0</v>
      </c>
      <c r="AI10" s="2">
        <v>4</v>
      </c>
      <c r="AJ10" s="2">
        <v>5</v>
      </c>
      <c r="AK10" s="2">
        <v>1</v>
      </c>
      <c r="AL10" s="2">
        <v>3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3">
        <f>DATE(BE10, MATCH(TRIM(BD10), {"ENERO";"FEBRERO";"MARZO";"ABRIL";"MAYO";"JUNIO";"JULIO";"AGOSTO";"SEPTIEMBRE";"OCTUBRE";"NOVIEMBRE";"DICIEMBRE"}, 0), BC10)</f>
        <v>44300</v>
      </c>
      <c r="BC10" s="2">
        <v>14</v>
      </c>
      <c r="BD10" s="2" t="s">
        <v>93</v>
      </c>
      <c r="BE10" s="2">
        <v>2021</v>
      </c>
      <c r="BF10" s="2"/>
      <c r="BG10" s="2">
        <v>1</v>
      </c>
      <c r="BH10" s="2">
        <v>1</v>
      </c>
      <c r="BI10" s="2" t="s">
        <v>143</v>
      </c>
      <c r="BJ10" s="2" t="s">
        <v>0</v>
      </c>
      <c r="BK10" s="2"/>
      <c r="BL10" s="2"/>
    </row>
    <row r="11" spans="1:64" ht="18.75" x14ac:dyDescent="0.25">
      <c r="A11" s="2">
        <v>10</v>
      </c>
      <c r="B11" s="2" t="str">
        <f t="shared" si="0"/>
        <v>ADN-P-10</v>
      </c>
      <c r="C11" s="2" t="s">
        <v>19</v>
      </c>
      <c r="D11" s="2" t="s">
        <v>137</v>
      </c>
      <c r="E11" s="2" t="s">
        <v>1096</v>
      </c>
      <c r="F11" s="2" t="s">
        <v>1095</v>
      </c>
      <c r="G11" s="2" t="s">
        <v>1094</v>
      </c>
      <c r="H11" s="2" t="s">
        <v>1093</v>
      </c>
      <c r="I11" s="2" t="s">
        <v>1092</v>
      </c>
      <c r="J11" s="2" t="s">
        <v>683</v>
      </c>
      <c r="K11" s="2">
        <v>1647.07</v>
      </c>
      <c r="L11" s="2">
        <v>117.82</v>
      </c>
      <c r="M11" s="2">
        <v>235.64</v>
      </c>
      <c r="N11" s="2">
        <v>1419</v>
      </c>
      <c r="O11" s="2">
        <v>1553</v>
      </c>
      <c r="P11" s="2">
        <f t="shared" si="1"/>
        <v>2972</v>
      </c>
      <c r="Q11" s="2" t="s">
        <v>682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5</v>
      </c>
      <c r="Y11" s="2">
        <v>0</v>
      </c>
      <c r="Z11" s="2">
        <v>3</v>
      </c>
      <c r="AA11" s="2">
        <v>0</v>
      </c>
      <c r="AB11" s="2">
        <v>0</v>
      </c>
      <c r="AC11" s="2">
        <v>0</v>
      </c>
      <c r="AD11" s="2">
        <v>0</v>
      </c>
      <c r="AE11" s="2">
        <v>15</v>
      </c>
      <c r="AF11" s="2">
        <v>15</v>
      </c>
      <c r="AG11" s="2">
        <v>0</v>
      </c>
      <c r="AH11" s="2">
        <v>1</v>
      </c>
      <c r="AI11" s="2">
        <v>27</v>
      </c>
      <c r="AJ11" s="2">
        <v>1</v>
      </c>
      <c r="AK11" s="2">
        <v>1</v>
      </c>
      <c r="AL11" s="2">
        <v>10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3">
        <f>DATE(BE11, MATCH(TRIM(BD11), {"ENERO";"FEBRERO";"MARZO";"ABRIL";"MAYO";"JUNIO";"JULIO";"AGOSTO";"SEPTIEMBRE";"OCTUBRE";"NOVIEMBRE";"DICIEMBRE"}, 0), BC11)</f>
        <v>44323</v>
      </c>
      <c r="BC11" s="2">
        <v>7</v>
      </c>
      <c r="BD11" s="2" t="s">
        <v>79</v>
      </c>
      <c r="BE11" s="2">
        <v>2021</v>
      </c>
      <c r="BF11" s="2"/>
      <c r="BG11" s="2">
        <v>1</v>
      </c>
      <c r="BH11" s="2">
        <v>1</v>
      </c>
      <c r="BI11" s="2" t="s">
        <v>143</v>
      </c>
      <c r="BJ11" s="2" t="s">
        <v>0</v>
      </c>
      <c r="BK11" s="2"/>
      <c r="BL11" s="2"/>
    </row>
    <row r="12" spans="1:64" ht="18.75" x14ac:dyDescent="0.25">
      <c r="A12" s="2">
        <v>11</v>
      </c>
      <c r="B12" s="2" t="str">
        <f t="shared" si="0"/>
        <v>ADN-P-11</v>
      </c>
      <c r="C12" s="2" t="s">
        <v>19</v>
      </c>
      <c r="D12" s="2" t="s">
        <v>137</v>
      </c>
      <c r="E12" s="2" t="s">
        <v>1091</v>
      </c>
      <c r="F12" s="2" t="s">
        <v>1090</v>
      </c>
      <c r="G12" s="2" t="s">
        <v>1089</v>
      </c>
      <c r="H12" s="2" t="s">
        <v>1088</v>
      </c>
      <c r="I12" s="2" t="s">
        <v>1087</v>
      </c>
      <c r="J12" s="2" t="s">
        <v>1086</v>
      </c>
      <c r="K12" s="2">
        <v>899.16</v>
      </c>
      <c r="L12" s="2">
        <v>90.77</v>
      </c>
      <c r="M12" s="2">
        <v>181.54</v>
      </c>
      <c r="N12" s="2">
        <v>2489</v>
      </c>
      <c r="O12" s="2">
        <v>3046</v>
      </c>
      <c r="P12" s="2">
        <f t="shared" si="1"/>
        <v>5535</v>
      </c>
      <c r="Q12" s="2" t="s">
        <v>86</v>
      </c>
      <c r="R12" s="2">
        <v>3</v>
      </c>
      <c r="S12" s="2">
        <v>0</v>
      </c>
      <c r="T12" s="2">
        <v>1</v>
      </c>
      <c r="U12" s="2">
        <v>0</v>
      </c>
      <c r="V12" s="2">
        <v>0</v>
      </c>
      <c r="W12" s="2">
        <v>13</v>
      </c>
      <c r="X12" s="2">
        <v>12</v>
      </c>
      <c r="Y12" s="2">
        <v>0</v>
      </c>
      <c r="Z12" s="2">
        <v>4</v>
      </c>
      <c r="AA12" s="2">
        <v>0</v>
      </c>
      <c r="AB12" s="2">
        <v>0</v>
      </c>
      <c r="AC12" s="2">
        <v>0</v>
      </c>
      <c r="AD12" s="2">
        <v>0</v>
      </c>
      <c r="AE12" s="2">
        <v>11</v>
      </c>
      <c r="AF12" s="2">
        <v>13</v>
      </c>
      <c r="AG12" s="2">
        <v>35.1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3">
        <f>DATE(BE12, MATCH(TRIM(BD12), {"ENERO";"FEBRERO";"MARZO";"ABRIL";"MAYO";"JUNIO";"JULIO";"AGOSTO";"SEPTIEMBRE";"OCTUBRE";"NOVIEMBRE";"DICIEMBRE"}, 0), BC12)</f>
        <v>44330</v>
      </c>
      <c r="BC12" s="2">
        <v>14</v>
      </c>
      <c r="BD12" s="2" t="s">
        <v>79</v>
      </c>
      <c r="BE12" s="2">
        <v>2021</v>
      </c>
      <c r="BF12" s="2"/>
      <c r="BG12" s="2">
        <v>1</v>
      </c>
      <c r="BH12" s="2">
        <v>1</v>
      </c>
      <c r="BI12" s="2" t="s">
        <v>143</v>
      </c>
      <c r="BJ12" s="2" t="s">
        <v>0</v>
      </c>
      <c r="BK12" s="2"/>
      <c r="BL12" s="2"/>
    </row>
    <row r="13" spans="1:64" ht="18.75" x14ac:dyDescent="0.25">
      <c r="A13" s="2">
        <v>12</v>
      </c>
      <c r="B13" s="2" t="str">
        <f t="shared" si="0"/>
        <v>ADN-P-12</v>
      </c>
      <c r="C13" s="2" t="s">
        <v>9</v>
      </c>
      <c r="D13" s="2" t="s">
        <v>32</v>
      </c>
      <c r="E13" s="2" t="s">
        <v>1085</v>
      </c>
      <c r="F13" s="2" t="s">
        <v>1084</v>
      </c>
      <c r="G13" s="2" t="s">
        <v>1083</v>
      </c>
      <c r="H13" s="2" t="s">
        <v>1082</v>
      </c>
      <c r="I13" s="2" t="s">
        <v>1081</v>
      </c>
      <c r="J13" s="2" t="s">
        <v>1080</v>
      </c>
      <c r="K13" s="2">
        <v>8111.09</v>
      </c>
      <c r="L13" s="2">
        <v>572.33000000000004</v>
      </c>
      <c r="M13" s="2">
        <v>1144.6600000000001</v>
      </c>
      <c r="N13" s="2">
        <v>6295</v>
      </c>
      <c r="O13" s="2">
        <v>7445</v>
      </c>
      <c r="P13" s="2">
        <f t="shared" si="1"/>
        <v>13740</v>
      </c>
      <c r="Q13" s="2" t="s">
        <v>86</v>
      </c>
      <c r="R13" s="2">
        <v>2</v>
      </c>
      <c r="S13" s="2">
        <v>0</v>
      </c>
      <c r="T13" s="2">
        <v>0</v>
      </c>
      <c r="U13" s="2">
        <v>0</v>
      </c>
      <c r="V13" s="2">
        <v>0</v>
      </c>
      <c r="W13" s="2">
        <v>44</v>
      </c>
      <c r="X13" s="2">
        <v>28</v>
      </c>
      <c r="Y13" s="2">
        <v>0</v>
      </c>
      <c r="Z13" s="2">
        <v>0</v>
      </c>
      <c r="AA13" s="2">
        <v>14</v>
      </c>
      <c r="AB13" s="2">
        <v>0</v>
      </c>
      <c r="AC13" s="2">
        <v>0</v>
      </c>
      <c r="AD13" s="2">
        <v>0</v>
      </c>
      <c r="AE13" s="2">
        <v>151</v>
      </c>
      <c r="AF13" s="2">
        <v>151</v>
      </c>
      <c r="AG13" s="2">
        <v>1394.3</v>
      </c>
      <c r="AH13" s="2">
        <v>0</v>
      </c>
      <c r="AI13" s="2">
        <v>1</v>
      </c>
      <c r="AJ13" s="2">
        <v>40</v>
      </c>
      <c r="AK13" s="2">
        <v>1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3">
        <f>DATE(BE13, MATCH(TRIM(BD13), {"ENERO";"FEBRERO";"MARZO";"ABRIL";"MAYO";"JUNIO";"JULIO";"AGOSTO";"SEPTIEMBRE";"OCTUBRE";"NOVIEMBRE";"DICIEMBRE"}, 0), BC13)</f>
        <v>44407</v>
      </c>
      <c r="BC13" s="2">
        <v>30</v>
      </c>
      <c r="BD13" s="2" t="s">
        <v>57</v>
      </c>
      <c r="BE13" s="2">
        <v>2021</v>
      </c>
      <c r="BF13" s="2"/>
      <c r="BG13" s="2">
        <v>2</v>
      </c>
      <c r="BH13" s="2">
        <v>1</v>
      </c>
      <c r="BI13" s="2" t="s">
        <v>1</v>
      </c>
      <c r="BJ13" s="2" t="s">
        <v>0</v>
      </c>
      <c r="BK13" s="2"/>
      <c r="BL13" s="2"/>
    </row>
    <row r="14" spans="1:64" ht="18.75" x14ac:dyDescent="0.25">
      <c r="A14" s="2">
        <v>13</v>
      </c>
      <c r="B14" s="2" t="str">
        <f t="shared" si="0"/>
        <v>ADN-P-13</v>
      </c>
      <c r="C14" s="2" t="s">
        <v>19</v>
      </c>
      <c r="D14" s="2" t="s">
        <v>111</v>
      </c>
      <c r="E14" s="2" t="s">
        <v>1079</v>
      </c>
      <c r="F14" s="2" t="s">
        <v>1078</v>
      </c>
      <c r="G14" s="2" t="s">
        <v>1077</v>
      </c>
      <c r="H14" s="2" t="s">
        <v>1076</v>
      </c>
      <c r="I14" s="2" t="s">
        <v>1075</v>
      </c>
      <c r="J14" s="2" t="s">
        <v>479</v>
      </c>
      <c r="K14" s="2">
        <v>115090</v>
      </c>
      <c r="L14" s="2">
        <v>985.1</v>
      </c>
      <c r="M14" s="2">
        <v>1970.2</v>
      </c>
      <c r="N14" s="2">
        <v>3663</v>
      </c>
      <c r="O14" s="2">
        <v>4458</v>
      </c>
      <c r="P14" s="2">
        <f t="shared" si="1"/>
        <v>8121</v>
      </c>
      <c r="Q14" s="2" t="s">
        <v>86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3">
        <f>DATE(BE14, MATCH(TRIM(BD14), {"ENERO";"FEBRERO";"MARZO";"ABRIL";"MAYO";"JUNIO";"JULIO";"AGOSTO";"SEPTIEMBRE";"OCTUBRE";"NOVIEMBRE";"DICIEMBRE"}, 0), BC14)</f>
        <v>44490</v>
      </c>
      <c r="BC14" s="2">
        <v>21</v>
      </c>
      <c r="BD14" s="2" t="s">
        <v>26</v>
      </c>
      <c r="BE14" s="2">
        <v>2021</v>
      </c>
      <c r="BF14" s="2"/>
      <c r="BG14" s="2">
        <v>1</v>
      </c>
      <c r="BH14" s="2">
        <v>1</v>
      </c>
      <c r="BI14" s="2" t="s">
        <v>143</v>
      </c>
      <c r="BJ14" s="2" t="s">
        <v>0</v>
      </c>
      <c r="BK14" s="2"/>
      <c r="BL14" s="2"/>
    </row>
    <row r="15" spans="1:64" ht="18.75" x14ac:dyDescent="0.25">
      <c r="A15" s="2">
        <v>14</v>
      </c>
      <c r="B15" s="2" t="str">
        <f t="shared" si="0"/>
        <v>ADN-P-14</v>
      </c>
      <c r="C15" s="2" t="s">
        <v>119</v>
      </c>
      <c r="D15" s="2" t="s">
        <v>118</v>
      </c>
      <c r="E15" s="2" t="s">
        <v>1074</v>
      </c>
      <c r="F15" s="2" t="s">
        <v>1073</v>
      </c>
      <c r="G15" s="2" t="s">
        <v>1072</v>
      </c>
      <c r="H15" s="2" t="s">
        <v>1071</v>
      </c>
      <c r="I15" s="2" t="s">
        <v>1070</v>
      </c>
      <c r="J15" s="2" t="s">
        <v>1031</v>
      </c>
      <c r="K15" s="2">
        <v>1047.6500000000001</v>
      </c>
      <c r="L15" s="2">
        <v>190.78</v>
      </c>
      <c r="M15" s="2">
        <v>381.56</v>
      </c>
      <c r="N15" s="2">
        <v>10340</v>
      </c>
      <c r="O15" s="2">
        <v>9864</v>
      </c>
      <c r="P15" s="2">
        <f t="shared" si="1"/>
        <v>20204</v>
      </c>
      <c r="Q15" s="2" t="s">
        <v>86</v>
      </c>
      <c r="R15" s="2">
        <v>1</v>
      </c>
      <c r="S15" s="2">
        <v>0</v>
      </c>
      <c r="T15" s="2">
        <v>4</v>
      </c>
      <c r="U15" s="2">
        <v>0</v>
      </c>
      <c r="V15" s="2">
        <v>0</v>
      </c>
      <c r="W15" s="2">
        <v>22</v>
      </c>
      <c r="X15" s="2">
        <v>16</v>
      </c>
      <c r="Y15" s="2">
        <v>0</v>
      </c>
      <c r="Z15" s="2">
        <v>5</v>
      </c>
      <c r="AA15" s="2">
        <v>4</v>
      </c>
      <c r="AB15" s="2">
        <v>0</v>
      </c>
      <c r="AC15" s="2">
        <v>0</v>
      </c>
      <c r="AD15" s="2">
        <v>0</v>
      </c>
      <c r="AE15" s="2">
        <v>4</v>
      </c>
      <c r="AF15" s="2">
        <v>19</v>
      </c>
      <c r="AG15" s="2">
        <v>245.5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3">
        <f>DATE(BE15, MATCH(TRIM(BD15), {"ENERO";"FEBRERO";"MARZO";"ABRIL";"MAYO";"JUNIO";"JULIO";"AGOSTO";"SEPTIEMBRE";"OCTUBRE";"NOVIEMBRE";"DICIEMBRE"}, 0), BC15)</f>
        <v>44414</v>
      </c>
      <c r="BC15" s="2">
        <v>6</v>
      </c>
      <c r="BD15" s="2" t="s">
        <v>50</v>
      </c>
      <c r="BE15" s="2">
        <v>2021</v>
      </c>
      <c r="BF15" s="2"/>
      <c r="BG15" s="2">
        <v>3</v>
      </c>
      <c r="BH15" s="2">
        <v>1</v>
      </c>
      <c r="BI15" s="2" t="s">
        <v>143</v>
      </c>
      <c r="BJ15" s="2" t="s">
        <v>0</v>
      </c>
      <c r="BK15" s="2"/>
      <c r="BL15" s="2"/>
    </row>
    <row r="16" spans="1:64" ht="18.75" x14ac:dyDescent="0.25">
      <c r="A16" s="2">
        <v>15</v>
      </c>
      <c r="B16" s="2" t="str">
        <f t="shared" si="0"/>
        <v>ADN-P-15</v>
      </c>
      <c r="C16" s="2" t="s">
        <v>19</v>
      </c>
      <c r="D16" s="2" t="s">
        <v>18</v>
      </c>
      <c r="E16" s="2" t="s">
        <v>1069</v>
      </c>
      <c r="F16" s="2" t="s">
        <v>1068</v>
      </c>
      <c r="G16" s="2" t="s">
        <v>1067</v>
      </c>
      <c r="H16" s="2" t="s">
        <v>1066</v>
      </c>
      <c r="I16" s="2" t="s">
        <v>1065</v>
      </c>
      <c r="J16" s="2" t="s">
        <v>1064</v>
      </c>
      <c r="K16" s="2">
        <v>410</v>
      </c>
      <c r="L16" s="2">
        <v>27.73</v>
      </c>
      <c r="M16" s="2">
        <v>55.46</v>
      </c>
      <c r="N16" s="2">
        <v>7227</v>
      </c>
      <c r="O16" s="2">
        <v>7824</v>
      </c>
      <c r="P16" s="2">
        <f t="shared" si="1"/>
        <v>15051</v>
      </c>
      <c r="Q16" s="2" t="s">
        <v>86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1</v>
      </c>
      <c r="AF16" s="2">
        <v>1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3">
        <f>DATE(BE16, MATCH(TRIM(BD16), {"ENERO";"FEBRERO";"MARZO";"ABRIL";"MAYO";"JUNIO";"JULIO";"AGOSTO";"SEPTIEMBRE";"OCTUBRE";"NOVIEMBRE";"DICIEMBRE"}, 0), BC16)</f>
        <v>44343</v>
      </c>
      <c r="BC16" s="2">
        <v>27</v>
      </c>
      <c r="BD16" s="2" t="s">
        <v>79</v>
      </c>
      <c r="BE16" s="2">
        <v>2021</v>
      </c>
      <c r="BF16" s="2"/>
      <c r="BG16" s="2">
        <v>1</v>
      </c>
      <c r="BH16" s="2">
        <v>1</v>
      </c>
      <c r="BI16" s="2" t="s">
        <v>143</v>
      </c>
      <c r="BJ16" s="2" t="s">
        <v>0</v>
      </c>
      <c r="BK16" s="2"/>
      <c r="BL16" s="2"/>
    </row>
    <row r="17" spans="1:64" ht="18.75" x14ac:dyDescent="0.25">
      <c r="A17" s="2">
        <v>16</v>
      </c>
      <c r="B17" s="2" t="str">
        <f t="shared" si="0"/>
        <v>ADN-P-16</v>
      </c>
      <c r="C17" s="2" t="s">
        <v>19</v>
      </c>
      <c r="D17" s="2" t="s">
        <v>47</v>
      </c>
      <c r="E17" s="2" t="s">
        <v>1063</v>
      </c>
      <c r="F17" s="2" t="s">
        <v>1062</v>
      </c>
      <c r="G17" s="2" t="s">
        <v>1061</v>
      </c>
      <c r="H17" s="2" t="s">
        <v>1060</v>
      </c>
      <c r="I17" s="2" t="s">
        <v>1059</v>
      </c>
      <c r="J17" s="2" t="s">
        <v>1058</v>
      </c>
      <c r="K17" s="2">
        <v>745</v>
      </c>
      <c r="L17" s="2">
        <v>90.47</v>
      </c>
      <c r="M17" s="2">
        <v>180.94</v>
      </c>
      <c r="N17" s="2">
        <v>4121</v>
      </c>
      <c r="O17" s="2">
        <v>5095</v>
      </c>
      <c r="P17" s="2">
        <f t="shared" si="1"/>
        <v>9216</v>
      </c>
      <c r="Q17" s="2" t="s">
        <v>86</v>
      </c>
      <c r="R17" s="2">
        <v>1</v>
      </c>
      <c r="S17" s="2">
        <v>6</v>
      </c>
      <c r="T17" s="2">
        <v>0</v>
      </c>
      <c r="U17" s="2">
        <v>1</v>
      </c>
      <c r="V17" s="2">
        <v>0</v>
      </c>
      <c r="W17" s="2">
        <v>10</v>
      </c>
      <c r="X17" s="2">
        <v>7</v>
      </c>
      <c r="Y17" s="2">
        <v>0</v>
      </c>
      <c r="Z17" s="2">
        <v>2</v>
      </c>
      <c r="AA17" s="2">
        <v>8</v>
      </c>
      <c r="AB17" s="2">
        <v>2</v>
      </c>
      <c r="AC17" s="2">
        <v>0</v>
      </c>
      <c r="AD17" s="2">
        <v>2</v>
      </c>
      <c r="AE17" s="2">
        <v>28</v>
      </c>
      <c r="AF17" s="2">
        <v>28</v>
      </c>
      <c r="AG17" s="2" t="s">
        <v>1057</v>
      </c>
      <c r="AH17" s="2">
        <v>0</v>
      </c>
      <c r="AI17" s="2">
        <v>1</v>
      </c>
      <c r="AJ17" s="2">
        <v>19</v>
      </c>
      <c r="AK17" s="2">
        <v>0</v>
      </c>
      <c r="AL17" s="2">
        <v>0</v>
      </c>
      <c r="AM17" s="2">
        <v>1</v>
      </c>
      <c r="AN17" s="2">
        <v>0</v>
      </c>
      <c r="AO17" s="2">
        <v>0</v>
      </c>
      <c r="AP17" s="2">
        <v>0</v>
      </c>
      <c r="AQ17" s="2">
        <v>0</v>
      </c>
      <c r="AR17" s="2">
        <v>1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3">
        <f>DATE(BE17, MATCH(TRIM(BD17), {"ENERO";"FEBRERO";"MARZO";"ABRIL";"MAYO";"JUNIO";"JULIO";"AGOSTO";"SEPTIEMBRE";"OCTUBRE";"NOVIEMBRE";"DICIEMBRE"}, 0), BC17)</f>
        <v>44399</v>
      </c>
      <c r="BC17" s="2">
        <v>22</v>
      </c>
      <c r="BD17" s="2" t="s">
        <v>57</v>
      </c>
      <c r="BE17" s="2">
        <v>2021</v>
      </c>
      <c r="BF17" s="2"/>
      <c r="BG17" s="2">
        <v>1</v>
      </c>
      <c r="BH17" s="2">
        <v>1</v>
      </c>
      <c r="BI17" s="2" t="s">
        <v>143</v>
      </c>
      <c r="BJ17" s="2" t="s">
        <v>0</v>
      </c>
      <c r="BK17" s="2"/>
      <c r="BL17" s="2"/>
    </row>
    <row r="18" spans="1:64" ht="18.75" x14ac:dyDescent="0.25">
      <c r="A18" s="2">
        <v>17</v>
      </c>
      <c r="B18" s="2" t="str">
        <f t="shared" si="0"/>
        <v>ADN-P-17</v>
      </c>
      <c r="C18" s="2" t="s">
        <v>9</v>
      </c>
      <c r="D18" s="2" t="s">
        <v>32</v>
      </c>
      <c r="E18" s="2" t="s">
        <v>1056</v>
      </c>
      <c r="F18" s="2" t="s">
        <v>1055</v>
      </c>
      <c r="G18" s="2" t="s">
        <v>1054</v>
      </c>
      <c r="H18" s="2" t="s">
        <v>1053</v>
      </c>
      <c r="I18" s="2" t="s">
        <v>1052</v>
      </c>
      <c r="J18" s="2" t="s">
        <v>1051</v>
      </c>
      <c r="K18" s="2">
        <v>150</v>
      </c>
      <c r="L18" s="2">
        <v>18.54</v>
      </c>
      <c r="M18" s="2">
        <v>37.08</v>
      </c>
      <c r="N18" s="2">
        <v>24591</v>
      </c>
      <c r="O18" s="2">
        <v>26673</v>
      </c>
      <c r="P18" s="2">
        <f t="shared" si="1"/>
        <v>51264</v>
      </c>
      <c r="Q18" s="2" t="s">
        <v>86</v>
      </c>
      <c r="R18" s="2">
        <v>1</v>
      </c>
      <c r="S18" s="2">
        <v>1</v>
      </c>
      <c r="T18" s="2">
        <v>1</v>
      </c>
      <c r="U18" s="2">
        <v>1</v>
      </c>
      <c r="V18" s="2">
        <v>0</v>
      </c>
      <c r="W18" s="2">
        <v>13</v>
      </c>
      <c r="X18" s="2">
        <v>3</v>
      </c>
      <c r="Y18" s="2">
        <v>3</v>
      </c>
      <c r="Z18" s="2">
        <v>3</v>
      </c>
      <c r="AA18" s="2">
        <v>4</v>
      </c>
      <c r="AB18" s="2">
        <v>0</v>
      </c>
      <c r="AC18" s="2">
        <v>1</v>
      </c>
      <c r="AD18" s="2">
        <v>1</v>
      </c>
      <c r="AE18" s="2">
        <v>32</v>
      </c>
      <c r="AF18" s="2">
        <v>32</v>
      </c>
      <c r="AG18" s="2">
        <v>200</v>
      </c>
      <c r="AH18" s="2">
        <v>0</v>
      </c>
      <c r="AI18" s="2">
        <v>0</v>
      </c>
      <c r="AJ18" s="2">
        <v>1</v>
      </c>
      <c r="AK18" s="2">
        <v>0</v>
      </c>
      <c r="AL18" s="2">
        <v>0</v>
      </c>
      <c r="AM18" s="2">
        <v>1</v>
      </c>
      <c r="AN18" s="2">
        <v>0</v>
      </c>
      <c r="AO18" s="2">
        <v>0</v>
      </c>
      <c r="AP18" s="2">
        <v>0</v>
      </c>
      <c r="AQ18" s="2">
        <v>1</v>
      </c>
      <c r="AR18" s="2">
        <v>0</v>
      </c>
      <c r="AS18" s="2">
        <v>1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3">
        <f>DATE(BE18, MATCH(TRIM(BD18), {"ENERO";"FEBRERO";"MARZO";"ABRIL";"MAYO";"JUNIO";"JULIO";"AGOSTO";"SEPTIEMBRE";"OCTUBRE";"NOVIEMBRE";"DICIEMBRE"}, 0), BC18)</f>
        <v>44384</v>
      </c>
      <c r="BC18" s="2">
        <v>7</v>
      </c>
      <c r="BD18" s="2" t="s">
        <v>57</v>
      </c>
      <c r="BE18" s="2">
        <v>2021</v>
      </c>
      <c r="BF18" s="2"/>
      <c r="BG18" s="2">
        <v>2</v>
      </c>
      <c r="BH18" s="2">
        <v>1</v>
      </c>
      <c r="BI18" s="2" t="s">
        <v>143</v>
      </c>
      <c r="BJ18" s="2" t="s">
        <v>0</v>
      </c>
      <c r="BK18" s="2"/>
      <c r="BL18" s="2"/>
    </row>
    <row r="19" spans="1:64" ht="18.75" x14ac:dyDescent="0.25">
      <c r="A19" s="2">
        <v>18</v>
      </c>
      <c r="B19" s="2" t="str">
        <f t="shared" si="0"/>
        <v>ADN-P-18</v>
      </c>
      <c r="C19" s="2" t="s">
        <v>19</v>
      </c>
      <c r="D19" s="2" t="s">
        <v>118</v>
      </c>
      <c r="E19" s="2" t="s">
        <v>1050</v>
      </c>
      <c r="F19" s="2" t="s">
        <v>1049</v>
      </c>
      <c r="G19" s="2" t="s">
        <v>1048</v>
      </c>
      <c r="H19" s="2" t="s">
        <v>1047</v>
      </c>
      <c r="I19" s="2" t="s">
        <v>1046</v>
      </c>
      <c r="J19" s="2" t="s">
        <v>112</v>
      </c>
      <c r="K19" s="2">
        <v>4796.66</v>
      </c>
      <c r="L19" s="2">
        <v>336.29</v>
      </c>
      <c r="M19" s="2">
        <v>672.58</v>
      </c>
      <c r="N19" s="2">
        <v>9169</v>
      </c>
      <c r="O19" s="2">
        <v>9796</v>
      </c>
      <c r="P19" s="2">
        <f t="shared" si="1"/>
        <v>18965</v>
      </c>
      <c r="Q19" s="2" t="s">
        <v>86</v>
      </c>
      <c r="R19" s="2">
        <v>2</v>
      </c>
      <c r="S19" s="2">
        <v>0</v>
      </c>
      <c r="T19" s="2">
        <v>6</v>
      </c>
      <c r="U19" s="2">
        <v>1</v>
      </c>
      <c r="V19" s="2">
        <v>0</v>
      </c>
      <c r="W19" s="2">
        <v>39</v>
      </c>
      <c r="X19" s="2">
        <v>44</v>
      </c>
      <c r="Y19" s="2">
        <v>0</v>
      </c>
      <c r="Z19" s="2">
        <v>13</v>
      </c>
      <c r="AA19" s="2">
        <v>17</v>
      </c>
      <c r="AB19" s="2">
        <v>0</v>
      </c>
      <c r="AC19" s="2">
        <v>0</v>
      </c>
      <c r="AD19" s="2">
        <v>0</v>
      </c>
      <c r="AE19" s="2">
        <v>108</v>
      </c>
      <c r="AF19" s="2">
        <v>110</v>
      </c>
      <c r="AG19" s="2">
        <v>0</v>
      </c>
      <c r="AH19" s="2">
        <v>0</v>
      </c>
      <c r="AI19" s="2">
        <v>3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3">
        <f>DATE(BE19, MATCH(TRIM(BD19), {"ENERO";"FEBRERO";"MARZO";"ABRIL";"MAYO";"JUNIO";"JULIO";"AGOSTO";"SEPTIEMBRE";"OCTUBRE";"NOVIEMBRE";"DICIEMBRE"}, 0), BC19)</f>
        <v>44490</v>
      </c>
      <c r="BC19" s="2">
        <v>21</v>
      </c>
      <c r="BD19" s="2" t="s">
        <v>26</v>
      </c>
      <c r="BE19" s="2">
        <v>2021</v>
      </c>
      <c r="BF19" s="2"/>
      <c r="BG19" s="2">
        <v>1</v>
      </c>
      <c r="BH19" s="2">
        <v>1</v>
      </c>
      <c r="BI19" s="2" t="s">
        <v>143</v>
      </c>
      <c r="BJ19" s="2" t="s">
        <v>1045</v>
      </c>
      <c r="BK19" s="2"/>
      <c r="BL19" s="2"/>
    </row>
    <row r="20" spans="1:64" ht="18.75" x14ac:dyDescent="0.25">
      <c r="A20" s="2">
        <v>19</v>
      </c>
      <c r="B20" s="2" t="str">
        <f t="shared" si="0"/>
        <v>ADN-P-19</v>
      </c>
      <c r="C20" s="2" t="s">
        <v>19</v>
      </c>
      <c r="D20" s="2" t="s">
        <v>221</v>
      </c>
      <c r="E20" s="2" t="s">
        <v>1044</v>
      </c>
      <c r="F20" s="2" t="s">
        <v>129</v>
      </c>
      <c r="G20" s="2" t="s">
        <v>1043</v>
      </c>
      <c r="H20" s="2" t="s">
        <v>1042</v>
      </c>
      <c r="I20" s="2" t="s">
        <v>1041</v>
      </c>
      <c r="J20" s="2" t="s">
        <v>683</v>
      </c>
      <c r="K20" s="2">
        <v>2456.41</v>
      </c>
      <c r="L20" s="2">
        <v>62.95</v>
      </c>
      <c r="M20" s="2">
        <v>125.9</v>
      </c>
      <c r="N20" s="2">
        <v>1419</v>
      </c>
      <c r="O20" s="2">
        <v>1553</v>
      </c>
      <c r="P20" s="2">
        <f t="shared" si="1"/>
        <v>2972</v>
      </c>
      <c r="Q20" s="2" t="s">
        <v>682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1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3">
        <f>DATE(BE20, MATCH(TRIM(BD20), {"ENERO";"FEBRERO";"MARZO";"ABRIL";"MAYO";"JUNIO";"JULIO";"AGOSTO";"SEPTIEMBRE";"OCTUBRE";"NOVIEMBRE";"DICIEMBRE"}, 0), BC20)</f>
        <v>44323</v>
      </c>
      <c r="BC20" s="2">
        <v>7</v>
      </c>
      <c r="BD20" s="2" t="s">
        <v>79</v>
      </c>
      <c r="BE20" s="2">
        <v>2021</v>
      </c>
      <c r="BF20" s="2"/>
      <c r="BG20" s="2">
        <v>1</v>
      </c>
      <c r="BH20" s="2">
        <v>2</v>
      </c>
      <c r="BI20" s="2" t="s">
        <v>143</v>
      </c>
      <c r="BJ20" s="2" t="s">
        <v>0</v>
      </c>
      <c r="BK20" s="2"/>
      <c r="BL20" s="2"/>
    </row>
    <row r="21" spans="1:64" ht="18.75" x14ac:dyDescent="0.25">
      <c r="A21" s="2">
        <v>20</v>
      </c>
      <c r="B21" s="2" t="str">
        <f t="shared" si="0"/>
        <v>ADN-P-20</v>
      </c>
      <c r="C21" s="2" t="s">
        <v>19</v>
      </c>
      <c r="D21" s="2" t="s">
        <v>47</v>
      </c>
      <c r="E21" s="2" t="s">
        <v>1040</v>
      </c>
      <c r="F21" s="2" t="s">
        <v>129</v>
      </c>
      <c r="G21" s="2" t="s">
        <v>1039</v>
      </c>
      <c r="H21" s="2" t="s">
        <v>1038</v>
      </c>
      <c r="I21" s="2" t="s">
        <v>1037</v>
      </c>
      <c r="J21" s="2" t="s">
        <v>840</v>
      </c>
      <c r="K21" s="2">
        <v>889</v>
      </c>
      <c r="L21" s="2">
        <v>104.04</v>
      </c>
      <c r="M21" s="2">
        <v>208.08</v>
      </c>
      <c r="N21" s="2">
        <v>2489</v>
      </c>
      <c r="O21" s="2">
        <v>3046</v>
      </c>
      <c r="P21" s="2">
        <f t="shared" si="1"/>
        <v>5535</v>
      </c>
      <c r="Q21" s="2" t="s">
        <v>86</v>
      </c>
      <c r="R21" s="2">
        <v>0</v>
      </c>
      <c r="S21" s="2">
        <v>0</v>
      </c>
      <c r="T21" s="2">
        <v>1</v>
      </c>
      <c r="U21" s="2">
        <v>0</v>
      </c>
      <c r="V21" s="2">
        <v>0</v>
      </c>
      <c r="W21" s="2">
        <v>1</v>
      </c>
      <c r="X21" s="2">
        <v>7</v>
      </c>
      <c r="Y21" s="2">
        <v>0</v>
      </c>
      <c r="Z21" s="2">
        <v>2</v>
      </c>
      <c r="AA21" s="2">
        <v>0</v>
      </c>
      <c r="AB21" s="2">
        <v>0</v>
      </c>
      <c r="AC21" s="2">
        <v>0</v>
      </c>
      <c r="AD21" s="2">
        <v>0</v>
      </c>
      <c r="AE21" s="2">
        <v>26</v>
      </c>
      <c r="AF21" s="2">
        <v>26</v>
      </c>
      <c r="AG21" s="2">
        <v>40</v>
      </c>
      <c r="AH21" s="2">
        <v>1</v>
      </c>
      <c r="AI21" s="2">
        <v>4</v>
      </c>
      <c r="AJ21" s="2">
        <v>0</v>
      </c>
      <c r="AK21" s="2">
        <v>2</v>
      </c>
      <c r="AL21" s="2">
        <v>6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3">
        <f>DATE(BE21, MATCH(TRIM(BD21), {"ENERO";"FEBRERO";"MARZO";"ABRIL";"MAYO";"JUNIO";"JULIO";"AGOSTO";"SEPTIEMBRE";"OCTUBRE";"NOVIEMBRE";"DICIEMBRE"}, 0), BC21)</f>
        <v>44359</v>
      </c>
      <c r="BC21" s="2">
        <v>12</v>
      </c>
      <c r="BD21" s="2" t="s">
        <v>71</v>
      </c>
      <c r="BE21" s="2">
        <v>2021</v>
      </c>
      <c r="BF21" s="2"/>
      <c r="BG21" s="2">
        <v>1</v>
      </c>
      <c r="BH21" s="2">
        <v>1</v>
      </c>
      <c r="BI21" s="2" t="s">
        <v>143</v>
      </c>
      <c r="BJ21" s="2" t="s">
        <v>0</v>
      </c>
      <c r="BK21" s="2"/>
      <c r="BL21" s="2"/>
    </row>
    <row r="22" spans="1:64" ht="18.75" x14ac:dyDescent="0.25">
      <c r="A22" s="2">
        <v>21</v>
      </c>
      <c r="B22" s="2" t="str">
        <f t="shared" si="0"/>
        <v>ADN-P-21</v>
      </c>
      <c r="C22" s="2" t="s">
        <v>119</v>
      </c>
      <c r="D22" s="2" t="s">
        <v>118</v>
      </c>
      <c r="E22" s="2" t="s">
        <v>1036</v>
      </c>
      <c r="F22" s="2" t="s">
        <v>1035</v>
      </c>
      <c r="G22" s="2" t="s">
        <v>1034</v>
      </c>
      <c r="H22" s="2" t="s">
        <v>1033</v>
      </c>
      <c r="I22" s="2" t="s">
        <v>1032</v>
      </c>
      <c r="J22" s="2" t="s">
        <v>1031</v>
      </c>
      <c r="K22" s="2">
        <v>254.1</v>
      </c>
      <c r="L22" s="2">
        <v>33.44</v>
      </c>
      <c r="M22" s="2">
        <v>66.88</v>
      </c>
      <c r="N22" s="2">
        <v>10340</v>
      </c>
      <c r="O22" s="2">
        <v>9864</v>
      </c>
      <c r="P22" s="2">
        <f t="shared" si="1"/>
        <v>20204</v>
      </c>
      <c r="Q22" s="2" t="s">
        <v>86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6</v>
      </c>
      <c r="Y22" s="2">
        <v>0</v>
      </c>
      <c r="Z22" s="2">
        <v>0</v>
      </c>
      <c r="AA22" s="2">
        <v>3</v>
      </c>
      <c r="AB22" s="2">
        <v>0</v>
      </c>
      <c r="AC22" s="2">
        <v>0</v>
      </c>
      <c r="AD22" s="2">
        <v>0</v>
      </c>
      <c r="AE22" s="2">
        <v>6</v>
      </c>
      <c r="AF22" s="2">
        <v>6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3">
        <f>DATE(BE22, MATCH(TRIM(BD22), {"ENERO";"FEBRERO";"MARZO";"ABRIL";"MAYO";"JUNIO";"JULIO";"AGOSTO";"SEPTIEMBRE";"OCTUBRE";"NOVIEMBRE";"DICIEMBRE"}, 0), BC22)</f>
        <v>44414</v>
      </c>
      <c r="BC22" s="2">
        <v>6</v>
      </c>
      <c r="BD22" s="2" t="s">
        <v>50</v>
      </c>
      <c r="BE22" s="2">
        <v>2021</v>
      </c>
      <c r="BF22" s="2"/>
      <c r="BG22" s="2">
        <v>3</v>
      </c>
      <c r="BH22" s="2">
        <v>1</v>
      </c>
      <c r="BI22" s="2" t="s">
        <v>1</v>
      </c>
      <c r="BJ22" s="2" t="s">
        <v>0</v>
      </c>
      <c r="BK22" s="2"/>
      <c r="BL22" s="2"/>
    </row>
    <row r="23" spans="1:64" ht="18.75" x14ac:dyDescent="0.25">
      <c r="A23" s="2">
        <v>22</v>
      </c>
      <c r="B23" s="2" t="str">
        <f t="shared" si="0"/>
        <v>ADN-P-22</v>
      </c>
      <c r="C23" s="2" t="s">
        <v>19</v>
      </c>
      <c r="D23" s="2" t="s">
        <v>221</v>
      </c>
      <c r="E23" s="2" t="s">
        <v>1030</v>
      </c>
      <c r="F23" s="2" t="s">
        <v>1028</v>
      </c>
      <c r="G23" s="2" t="s">
        <v>1027</v>
      </c>
      <c r="H23" s="2" t="s">
        <v>1026</v>
      </c>
      <c r="I23" s="2" t="s">
        <v>1025</v>
      </c>
      <c r="J23" s="2" t="s">
        <v>1024</v>
      </c>
      <c r="K23" s="2">
        <v>1034</v>
      </c>
      <c r="L23" s="2">
        <v>370.07</v>
      </c>
      <c r="M23" s="2">
        <v>740.14</v>
      </c>
      <c r="N23" s="2">
        <v>757</v>
      </c>
      <c r="O23" s="2">
        <v>907</v>
      </c>
      <c r="P23" s="2">
        <f t="shared" si="1"/>
        <v>1664</v>
      </c>
      <c r="Q23" s="2" t="s">
        <v>192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8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25</v>
      </c>
      <c r="AF23" s="2">
        <v>29</v>
      </c>
      <c r="AG23" s="2">
        <v>0</v>
      </c>
      <c r="AH23" s="2">
        <v>0</v>
      </c>
      <c r="AI23" s="2">
        <v>0</v>
      </c>
      <c r="AJ23" s="2">
        <v>0</v>
      </c>
      <c r="AK23" s="2">
        <v>1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3">
        <f>DATE(BE23, MATCH(TRIM(BD23), {"ENERO";"FEBRERO";"MARZO";"ABRIL";"MAYO";"JUNIO";"JULIO";"AGOSTO";"SEPTIEMBRE";"OCTUBRE";"NOVIEMBRE";"DICIEMBRE"}, 0), BC23)</f>
        <v>44385</v>
      </c>
      <c r="BC23" s="2">
        <v>8</v>
      </c>
      <c r="BD23" s="2" t="s">
        <v>57</v>
      </c>
      <c r="BE23" s="2">
        <v>2021</v>
      </c>
      <c r="BF23" s="2"/>
      <c r="BG23" s="2">
        <v>1</v>
      </c>
      <c r="BH23" s="2">
        <v>1</v>
      </c>
      <c r="BI23" s="2" t="s">
        <v>143</v>
      </c>
      <c r="BJ23" s="2" t="s">
        <v>0</v>
      </c>
      <c r="BK23" s="2"/>
      <c r="BL23" s="2"/>
    </row>
    <row r="24" spans="1:64" ht="18.75" x14ac:dyDescent="0.25">
      <c r="A24" s="2">
        <v>23</v>
      </c>
      <c r="B24" s="2" t="str">
        <f t="shared" si="0"/>
        <v>ADN-P-23</v>
      </c>
      <c r="C24" s="2" t="s">
        <v>19</v>
      </c>
      <c r="D24" s="2" t="s">
        <v>221</v>
      </c>
      <c r="E24" s="2" t="s">
        <v>1029</v>
      </c>
      <c r="F24" s="2" t="s">
        <v>1028</v>
      </c>
      <c r="G24" s="2" t="s">
        <v>1027</v>
      </c>
      <c r="H24" s="2" t="s">
        <v>1026</v>
      </c>
      <c r="I24" s="2" t="s">
        <v>1025</v>
      </c>
      <c r="J24" s="2" t="s">
        <v>1024</v>
      </c>
      <c r="K24" s="2">
        <v>5361</v>
      </c>
      <c r="L24" s="2">
        <v>164.97</v>
      </c>
      <c r="M24" s="2">
        <v>329.94</v>
      </c>
      <c r="N24" s="2">
        <v>757</v>
      </c>
      <c r="O24" s="2">
        <v>907</v>
      </c>
      <c r="P24" s="2">
        <f t="shared" si="1"/>
        <v>1664</v>
      </c>
      <c r="Q24" s="2" t="s">
        <v>192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13</v>
      </c>
      <c r="AA24" s="2">
        <v>22</v>
      </c>
      <c r="AB24" s="2">
        <v>0</v>
      </c>
      <c r="AC24" s="2">
        <v>0</v>
      </c>
      <c r="AD24" s="2">
        <v>0</v>
      </c>
      <c r="AE24" s="2">
        <v>29</v>
      </c>
      <c r="AF24" s="2">
        <v>34</v>
      </c>
      <c r="AG24" s="2" t="s">
        <v>1023</v>
      </c>
      <c r="AH24" s="2">
        <v>0</v>
      </c>
      <c r="AI24" s="2">
        <v>0</v>
      </c>
      <c r="AJ24" s="2">
        <v>0</v>
      </c>
      <c r="AK24" s="2">
        <v>4</v>
      </c>
      <c r="AL24" s="2">
        <v>2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3">
        <f>DATE(BE24, MATCH(TRIM(BD24), {"ENERO";"FEBRERO";"MARZO";"ABRIL";"MAYO";"JUNIO";"JULIO";"AGOSTO";"SEPTIEMBRE";"OCTUBRE";"NOVIEMBRE";"DICIEMBRE"}, 0), BC24)</f>
        <v>44385</v>
      </c>
      <c r="BC24" s="2">
        <v>8</v>
      </c>
      <c r="BD24" s="2" t="s">
        <v>57</v>
      </c>
      <c r="BE24" s="2">
        <v>2021</v>
      </c>
      <c r="BF24" s="2"/>
      <c r="BG24" s="2">
        <v>1</v>
      </c>
      <c r="BH24" s="2">
        <v>1</v>
      </c>
      <c r="BI24" s="2" t="s">
        <v>143</v>
      </c>
      <c r="BJ24" s="2" t="s">
        <v>0</v>
      </c>
      <c r="BK24" s="2"/>
      <c r="BL24" s="2"/>
    </row>
    <row r="25" spans="1:64" ht="18.75" x14ac:dyDescent="0.25">
      <c r="A25" s="2">
        <v>24</v>
      </c>
      <c r="B25" s="2" t="str">
        <f t="shared" si="0"/>
        <v>ADN-P-24</v>
      </c>
      <c r="C25" s="2" t="s">
        <v>19</v>
      </c>
      <c r="D25" s="2" t="s">
        <v>111</v>
      </c>
      <c r="E25" s="2" t="s">
        <v>1022</v>
      </c>
      <c r="F25" s="2" t="s">
        <v>1021</v>
      </c>
      <c r="G25" s="2" t="s">
        <v>1020</v>
      </c>
      <c r="H25" s="2" t="s">
        <v>1019</v>
      </c>
      <c r="I25" s="2" t="s">
        <v>1018</v>
      </c>
      <c r="J25" s="2" t="s">
        <v>105</v>
      </c>
      <c r="K25" s="2">
        <v>1280</v>
      </c>
      <c r="L25" s="2">
        <v>165.84</v>
      </c>
      <c r="M25" s="2">
        <v>331.68</v>
      </c>
      <c r="N25" s="2">
        <v>2703</v>
      </c>
      <c r="O25" s="2">
        <v>3203</v>
      </c>
      <c r="P25" s="2">
        <f t="shared" si="1"/>
        <v>5906</v>
      </c>
      <c r="Q25" s="2" t="s">
        <v>86</v>
      </c>
      <c r="R25" s="2">
        <v>1</v>
      </c>
      <c r="S25" s="2">
        <v>0</v>
      </c>
      <c r="T25" s="2">
        <v>5</v>
      </c>
      <c r="U25" s="2">
        <v>0</v>
      </c>
      <c r="V25" s="2">
        <v>0</v>
      </c>
      <c r="W25" s="2">
        <v>23</v>
      </c>
      <c r="X25" s="2">
        <v>11</v>
      </c>
      <c r="Y25" s="2">
        <v>0</v>
      </c>
      <c r="Z25" s="2">
        <v>9</v>
      </c>
      <c r="AA25" s="2">
        <v>0</v>
      </c>
      <c r="AB25" s="2">
        <v>0</v>
      </c>
      <c r="AC25" s="2">
        <v>0</v>
      </c>
      <c r="AD25" s="2">
        <v>0</v>
      </c>
      <c r="AE25" s="2">
        <v>18</v>
      </c>
      <c r="AF25" s="2">
        <v>18</v>
      </c>
      <c r="AG25" s="2">
        <v>0</v>
      </c>
      <c r="AH25" s="2">
        <v>5</v>
      </c>
      <c r="AI25" s="2">
        <v>0</v>
      </c>
      <c r="AJ25" s="2">
        <v>0</v>
      </c>
      <c r="AK25" s="2">
        <v>6</v>
      </c>
      <c r="AL25" s="2">
        <v>10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3">
        <f>DATE(BE25, MATCH(TRIM(BD25), {"ENERO";"FEBRERO";"MARZO";"ABRIL";"MAYO";"JUNIO";"JULIO";"AGOSTO";"SEPTIEMBRE";"OCTUBRE";"NOVIEMBRE";"DICIEMBRE"}, 0), BC25)</f>
        <v>44357</v>
      </c>
      <c r="BC25" s="2">
        <v>10</v>
      </c>
      <c r="BD25" s="2" t="s">
        <v>71</v>
      </c>
      <c r="BE25" s="2">
        <v>2021</v>
      </c>
      <c r="BF25" s="2"/>
      <c r="BG25" s="2">
        <v>1</v>
      </c>
      <c r="BH25" s="2">
        <v>1</v>
      </c>
      <c r="BI25" s="2" t="s">
        <v>143</v>
      </c>
      <c r="BJ25" s="2" t="s">
        <v>0</v>
      </c>
      <c r="BK25" s="2"/>
      <c r="BL25" s="2"/>
    </row>
    <row r="26" spans="1:64" ht="18.75" x14ac:dyDescent="0.25">
      <c r="A26" s="2">
        <v>25</v>
      </c>
      <c r="B26" s="2" t="str">
        <f t="shared" si="0"/>
        <v>ADN-P-25</v>
      </c>
      <c r="C26" s="2" t="s">
        <v>19</v>
      </c>
      <c r="D26" s="2" t="s">
        <v>137</v>
      </c>
      <c r="E26" s="2" t="s">
        <v>1017</v>
      </c>
      <c r="F26" s="2" t="s">
        <v>1016</v>
      </c>
      <c r="G26" s="2" t="s">
        <v>1015</v>
      </c>
      <c r="H26" s="2" t="s">
        <v>1014</v>
      </c>
      <c r="I26" s="2" t="s">
        <v>1013</v>
      </c>
      <c r="J26" s="2" t="s">
        <v>840</v>
      </c>
      <c r="K26" s="2">
        <v>416.17</v>
      </c>
      <c r="L26" s="2">
        <v>22.05</v>
      </c>
      <c r="M26" s="2">
        <v>44.1</v>
      </c>
      <c r="N26" s="2">
        <v>2489</v>
      </c>
      <c r="O26" s="2">
        <v>3046</v>
      </c>
      <c r="P26" s="2">
        <f t="shared" si="1"/>
        <v>5535</v>
      </c>
      <c r="Q26" s="2" t="s">
        <v>682</v>
      </c>
      <c r="R26" s="2">
        <v>0</v>
      </c>
      <c r="S26" s="2">
        <v>0</v>
      </c>
      <c r="T26" s="2">
        <v>1</v>
      </c>
      <c r="U26" s="2">
        <v>0</v>
      </c>
      <c r="V26" s="2">
        <v>0</v>
      </c>
      <c r="W26" s="2">
        <v>3</v>
      </c>
      <c r="X26" s="2">
        <v>0</v>
      </c>
      <c r="Y26" s="2">
        <v>0</v>
      </c>
      <c r="Z26" s="2">
        <v>2</v>
      </c>
      <c r="AA26" s="2">
        <v>0</v>
      </c>
      <c r="AB26" s="2">
        <v>0</v>
      </c>
      <c r="AC26" s="2">
        <v>0</v>
      </c>
      <c r="AD26" s="2">
        <v>0</v>
      </c>
      <c r="AE26" s="2">
        <v>2</v>
      </c>
      <c r="AF26" s="2">
        <v>2</v>
      </c>
      <c r="AG26" s="2">
        <v>0</v>
      </c>
      <c r="AH26" s="2">
        <v>0</v>
      </c>
      <c r="AI26" s="2">
        <v>2</v>
      </c>
      <c r="AJ26" s="2">
        <v>0</v>
      </c>
      <c r="AK26" s="2">
        <v>0</v>
      </c>
      <c r="AL26" s="2">
        <v>2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3">
        <f>DATE(BE26, MATCH(TRIM(BD26), {"ENERO";"FEBRERO";"MARZO";"ABRIL";"MAYO";"JUNIO";"JULIO";"AGOSTO";"SEPTIEMBRE";"OCTUBRE";"NOVIEMBRE";"DICIEMBRE"}, 0), BC26)</f>
        <v>44323</v>
      </c>
      <c r="BC26" s="2">
        <v>7</v>
      </c>
      <c r="BD26" s="2" t="s">
        <v>79</v>
      </c>
      <c r="BE26" s="2">
        <v>2021</v>
      </c>
      <c r="BF26" s="2"/>
      <c r="BG26" s="2">
        <v>1</v>
      </c>
      <c r="BH26" s="2">
        <v>1</v>
      </c>
      <c r="BI26" s="2" t="s">
        <v>143</v>
      </c>
      <c r="BJ26" s="2" t="s">
        <v>0</v>
      </c>
      <c r="BK26" s="2"/>
      <c r="BL26" s="2"/>
    </row>
    <row r="27" spans="1:64" ht="18.75" x14ac:dyDescent="0.25">
      <c r="A27" s="2">
        <v>26</v>
      </c>
      <c r="B27" s="2" t="str">
        <f t="shared" si="0"/>
        <v>ADN-P-26</v>
      </c>
      <c r="C27" s="2" t="s">
        <v>19</v>
      </c>
      <c r="D27" s="2" t="s">
        <v>137</v>
      </c>
      <c r="E27" s="2" t="s">
        <v>1012</v>
      </c>
      <c r="F27" s="2" t="s">
        <v>1011</v>
      </c>
      <c r="G27" s="2" t="s">
        <v>1010</v>
      </c>
      <c r="H27" s="2" t="s">
        <v>1009</v>
      </c>
      <c r="I27" s="2" t="s">
        <v>1008</v>
      </c>
      <c r="J27" s="2" t="s">
        <v>614</v>
      </c>
      <c r="K27" s="2">
        <v>1839</v>
      </c>
      <c r="L27" s="2">
        <v>200.13</v>
      </c>
      <c r="M27" s="2">
        <v>400.26</v>
      </c>
      <c r="N27" s="2">
        <v>3737</v>
      </c>
      <c r="O27" s="2">
        <v>4055</v>
      </c>
      <c r="P27" s="2">
        <f t="shared" si="1"/>
        <v>7792</v>
      </c>
      <c r="Q27" s="2" t="s">
        <v>86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41</v>
      </c>
      <c r="X27" s="2">
        <v>34</v>
      </c>
      <c r="Y27" s="2">
        <v>0</v>
      </c>
      <c r="Z27" s="2">
        <v>3</v>
      </c>
      <c r="AA27" s="2">
        <v>0</v>
      </c>
      <c r="AB27" s="2">
        <v>0</v>
      </c>
      <c r="AC27" s="2">
        <v>0</v>
      </c>
      <c r="AD27" s="2">
        <v>0</v>
      </c>
      <c r="AE27" s="2">
        <v>31</v>
      </c>
      <c r="AF27" s="2">
        <v>34</v>
      </c>
      <c r="AG27" s="2">
        <v>92.3</v>
      </c>
      <c r="AH27" s="2">
        <v>0</v>
      </c>
      <c r="AI27" s="2">
        <v>6</v>
      </c>
      <c r="AJ27" s="2">
        <v>0</v>
      </c>
      <c r="AK27" s="2">
        <v>1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3">
        <f>DATE(BE27, MATCH(TRIM(BD27), {"ENERO";"FEBRERO";"MARZO";"ABRIL";"MAYO";"JUNIO";"JULIO";"AGOSTO";"SEPTIEMBRE";"OCTUBRE";"NOVIEMBRE";"DICIEMBRE"}, 0), BC27)</f>
        <v>44455</v>
      </c>
      <c r="BC27" s="2">
        <v>16</v>
      </c>
      <c r="BD27" s="2" t="s">
        <v>33</v>
      </c>
      <c r="BE27" s="2">
        <v>2021</v>
      </c>
      <c r="BF27" s="2"/>
      <c r="BG27" s="2">
        <v>1</v>
      </c>
      <c r="BH27" s="2">
        <v>1</v>
      </c>
      <c r="BI27" s="2" t="s">
        <v>143</v>
      </c>
      <c r="BJ27" s="2" t="s">
        <v>0</v>
      </c>
      <c r="BK27" s="2"/>
      <c r="BL27" s="2"/>
    </row>
    <row r="28" spans="1:64" ht="18.75" x14ac:dyDescent="0.25">
      <c r="A28" s="2">
        <v>27</v>
      </c>
      <c r="B28" s="2" t="str">
        <f t="shared" si="0"/>
        <v>ADN-P-27</v>
      </c>
      <c r="C28" s="2" t="s">
        <v>19</v>
      </c>
      <c r="D28" s="2" t="s">
        <v>111</v>
      </c>
      <c r="E28" s="2" t="s">
        <v>1007</v>
      </c>
      <c r="F28" s="2" t="s">
        <v>1006</v>
      </c>
      <c r="G28" s="2" t="s">
        <v>1005</v>
      </c>
      <c r="H28" s="2" t="s">
        <v>1004</v>
      </c>
      <c r="I28" s="2" t="s">
        <v>1003</v>
      </c>
      <c r="J28" s="2" t="s">
        <v>479</v>
      </c>
      <c r="K28" s="2">
        <v>1932.29</v>
      </c>
      <c r="L28" s="2">
        <v>338.65</v>
      </c>
      <c r="M28" s="2">
        <v>677.3</v>
      </c>
      <c r="N28" s="2">
        <v>3663</v>
      </c>
      <c r="O28" s="2">
        <v>4458</v>
      </c>
      <c r="P28" s="2">
        <f t="shared" si="1"/>
        <v>8121</v>
      </c>
      <c r="Q28" s="2" t="s">
        <v>86</v>
      </c>
      <c r="R28" s="2">
        <v>0</v>
      </c>
      <c r="S28" s="2">
        <v>0</v>
      </c>
      <c r="T28" s="2">
        <v>7</v>
      </c>
      <c r="U28" s="2">
        <v>2</v>
      </c>
      <c r="V28" s="2">
        <v>0</v>
      </c>
      <c r="W28" s="2">
        <v>0</v>
      </c>
      <c r="X28" s="2">
        <v>2</v>
      </c>
      <c r="Y28" s="2">
        <v>0</v>
      </c>
      <c r="Z28" s="2">
        <v>0</v>
      </c>
      <c r="AA28" s="2">
        <v>0</v>
      </c>
      <c r="AB28" s="2">
        <v>0</v>
      </c>
      <c r="AC28" s="2"/>
      <c r="AD28" s="2">
        <v>0</v>
      </c>
      <c r="AE28" s="2">
        <v>40</v>
      </c>
      <c r="AF28" s="2">
        <v>41</v>
      </c>
      <c r="AG28" s="2">
        <v>472</v>
      </c>
      <c r="AH28" s="2">
        <v>0</v>
      </c>
      <c r="AI28" s="2">
        <v>0</v>
      </c>
      <c r="AJ28" s="2">
        <v>0</v>
      </c>
      <c r="AK28" s="2">
        <v>1</v>
      </c>
      <c r="AL28" s="2">
        <v>14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3">
        <f>DATE(BE28, MATCH(TRIM(BD28), {"ENERO";"FEBRERO";"MARZO";"ABRIL";"MAYO";"JUNIO";"JULIO";"AGOSTO";"SEPTIEMBRE";"OCTUBRE";"NOVIEMBRE";"DICIEMBRE"}, 0), BC28)</f>
        <v>44490</v>
      </c>
      <c r="BC28" s="2">
        <v>21</v>
      </c>
      <c r="BD28" s="2" t="s">
        <v>26</v>
      </c>
      <c r="BE28" s="2">
        <v>2021</v>
      </c>
      <c r="BF28" s="2"/>
      <c r="BG28" s="2">
        <v>1</v>
      </c>
      <c r="BH28" s="2">
        <v>1</v>
      </c>
      <c r="BI28" s="2" t="s">
        <v>143</v>
      </c>
      <c r="BJ28" s="2" t="s">
        <v>0</v>
      </c>
      <c r="BK28" s="2"/>
      <c r="BL28" s="2"/>
    </row>
    <row r="29" spans="1:64" ht="18.75" x14ac:dyDescent="0.25">
      <c r="A29" s="2">
        <v>28</v>
      </c>
      <c r="B29" s="2" t="str">
        <f t="shared" si="0"/>
        <v>ADN-P-28</v>
      </c>
      <c r="C29" s="2" t="s">
        <v>19</v>
      </c>
      <c r="D29" s="2" t="s">
        <v>47</v>
      </c>
      <c r="E29" s="2" t="s">
        <v>1002</v>
      </c>
      <c r="F29" s="2" t="s">
        <v>1001</v>
      </c>
      <c r="G29" s="2" t="s">
        <v>1000</v>
      </c>
      <c r="H29" s="2" t="s">
        <v>999</v>
      </c>
      <c r="I29" s="2" t="s">
        <v>998</v>
      </c>
      <c r="J29" s="2" t="s">
        <v>997</v>
      </c>
      <c r="K29" s="2">
        <v>32</v>
      </c>
      <c r="L29" s="2">
        <v>8.9499999999999993</v>
      </c>
      <c r="M29" s="2">
        <v>17.899999999999999</v>
      </c>
      <c r="N29" s="2">
        <v>13131</v>
      </c>
      <c r="O29" s="2">
        <v>15438</v>
      </c>
      <c r="P29" s="2">
        <f t="shared" si="1"/>
        <v>28569</v>
      </c>
      <c r="Q29" s="2" t="s">
        <v>58</v>
      </c>
      <c r="R29" s="2">
        <v>1</v>
      </c>
      <c r="S29" s="2">
        <v>0</v>
      </c>
      <c r="T29" s="2">
        <v>2</v>
      </c>
      <c r="U29" s="2">
        <v>0</v>
      </c>
      <c r="V29" s="2">
        <v>0</v>
      </c>
      <c r="W29" s="2">
        <v>5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10</v>
      </c>
      <c r="AF29" s="2">
        <v>10</v>
      </c>
      <c r="AG29" s="2">
        <v>18</v>
      </c>
      <c r="AH29" s="2">
        <v>0</v>
      </c>
      <c r="AI29" s="2">
        <v>0</v>
      </c>
      <c r="AJ29" s="2">
        <v>1</v>
      </c>
      <c r="AK29" s="2">
        <v>0</v>
      </c>
      <c r="AL29" s="2">
        <v>2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3">
        <f>DATE(BE29, MATCH(TRIM(BD29), {"ENERO";"FEBRERO";"MARZO";"ABRIL";"MAYO";"JUNIO";"JULIO";"AGOSTO";"SEPTIEMBRE";"OCTUBRE";"NOVIEMBRE";"DICIEMBRE"}, 0), BC29)</f>
        <v>44495</v>
      </c>
      <c r="BC29" s="2">
        <v>26</v>
      </c>
      <c r="BD29" s="2" t="s">
        <v>26</v>
      </c>
      <c r="BE29" s="2">
        <v>2021</v>
      </c>
      <c r="BF29" s="2"/>
      <c r="BG29" s="2">
        <v>1</v>
      </c>
      <c r="BH29" s="2">
        <v>2</v>
      </c>
      <c r="BI29" s="2" t="s">
        <v>1</v>
      </c>
      <c r="BJ29" s="2" t="s">
        <v>0</v>
      </c>
      <c r="BK29" s="2"/>
      <c r="BL29" s="2"/>
    </row>
    <row r="30" spans="1:64" ht="18.75" x14ac:dyDescent="0.25">
      <c r="A30" s="2">
        <v>29</v>
      </c>
      <c r="B30" s="2" t="str">
        <f t="shared" si="0"/>
        <v>ADN-P-29</v>
      </c>
      <c r="C30" s="2" t="s">
        <v>19</v>
      </c>
      <c r="D30" s="2" t="s">
        <v>25</v>
      </c>
      <c r="E30" s="2" t="s">
        <v>996</v>
      </c>
      <c r="F30" s="2" t="s">
        <v>995</v>
      </c>
      <c r="G30" s="2" t="s">
        <v>994</v>
      </c>
      <c r="H30" s="2" t="s">
        <v>993</v>
      </c>
      <c r="I30" s="2" t="s">
        <v>992</v>
      </c>
      <c r="J30" s="2" t="s">
        <v>991</v>
      </c>
      <c r="K30" s="2">
        <v>50</v>
      </c>
      <c r="L30" s="2">
        <v>17.23</v>
      </c>
      <c r="M30" s="2">
        <v>34.46</v>
      </c>
      <c r="N30" s="2">
        <v>2703</v>
      </c>
      <c r="O30" s="2">
        <v>3203</v>
      </c>
      <c r="P30" s="2">
        <f t="shared" si="1"/>
        <v>5906</v>
      </c>
      <c r="Q30" s="2" t="s">
        <v>192</v>
      </c>
      <c r="R30" s="2">
        <v>1</v>
      </c>
      <c r="S30" s="2">
        <v>0</v>
      </c>
      <c r="T30" s="2">
        <v>2</v>
      </c>
      <c r="U30" s="2">
        <v>0</v>
      </c>
      <c r="V30" s="2">
        <v>0</v>
      </c>
      <c r="W30" s="2">
        <v>3</v>
      </c>
      <c r="X30" s="2">
        <v>3</v>
      </c>
      <c r="Y30" s="2">
        <v>0</v>
      </c>
      <c r="Z30" s="2">
        <v>2</v>
      </c>
      <c r="AA30" s="2">
        <v>0</v>
      </c>
      <c r="AB30" s="2">
        <v>0</v>
      </c>
      <c r="AC30" s="2">
        <v>0</v>
      </c>
      <c r="AD30" s="2">
        <v>0</v>
      </c>
      <c r="AE30" s="2">
        <v>18</v>
      </c>
      <c r="AF30" s="2">
        <v>18</v>
      </c>
      <c r="AG30" s="2">
        <v>0</v>
      </c>
      <c r="AH30" s="2">
        <v>2</v>
      </c>
      <c r="AI30" s="2">
        <v>0</v>
      </c>
      <c r="AJ30" s="2">
        <v>1</v>
      </c>
      <c r="AK30" s="2">
        <v>1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3">
        <f>DATE(BE30, MATCH(TRIM(BD30), {"ENERO";"FEBRERO";"MARZO";"ABRIL";"MAYO";"JUNIO";"JULIO";"AGOSTO";"SEPTIEMBRE";"OCTUBRE";"NOVIEMBRE";"DICIEMBRE"}, 0), BC30)</f>
        <v>44335</v>
      </c>
      <c r="BC30" s="2">
        <v>19</v>
      </c>
      <c r="BD30" s="2" t="s">
        <v>79</v>
      </c>
      <c r="BE30" s="2">
        <v>2021</v>
      </c>
      <c r="BF30" s="2"/>
      <c r="BG30" s="2">
        <v>1</v>
      </c>
      <c r="BH30" s="2">
        <v>1</v>
      </c>
      <c r="BI30" s="2" t="s">
        <v>143</v>
      </c>
      <c r="BJ30" s="2" t="s">
        <v>0</v>
      </c>
      <c r="BK30" s="2"/>
      <c r="BL30" s="2"/>
    </row>
    <row r="31" spans="1:64" ht="18.75" x14ac:dyDescent="0.25">
      <c r="A31" s="2">
        <v>30</v>
      </c>
      <c r="B31" s="2" t="str">
        <f t="shared" si="0"/>
        <v>ADN-P-30</v>
      </c>
      <c r="C31" s="2" t="s">
        <v>19</v>
      </c>
      <c r="D31" s="2" t="s">
        <v>137</v>
      </c>
      <c r="E31" s="2" t="s">
        <v>990</v>
      </c>
      <c r="F31" s="2" t="s">
        <v>989</v>
      </c>
      <c r="G31" s="2" t="s">
        <v>988</v>
      </c>
      <c r="H31" s="2" t="s">
        <v>987</v>
      </c>
      <c r="I31" s="2" t="s">
        <v>986</v>
      </c>
      <c r="J31" s="2" t="s">
        <v>840</v>
      </c>
      <c r="K31" s="2">
        <v>30</v>
      </c>
      <c r="L31" s="2">
        <v>0</v>
      </c>
      <c r="M31" s="2">
        <v>0</v>
      </c>
      <c r="N31" s="2">
        <v>2489</v>
      </c>
      <c r="O31" s="2">
        <v>3046</v>
      </c>
      <c r="P31" s="2">
        <f t="shared" si="1"/>
        <v>5535</v>
      </c>
      <c r="Q31" s="2" t="s">
        <v>682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2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3</v>
      </c>
      <c r="AF31" s="2">
        <v>3</v>
      </c>
      <c r="AG31" s="2">
        <v>35</v>
      </c>
      <c r="AH31" s="2">
        <v>2</v>
      </c>
      <c r="AI31" s="2">
        <v>0</v>
      </c>
      <c r="AJ31" s="2">
        <v>0</v>
      </c>
      <c r="AK31" s="2">
        <v>1</v>
      </c>
      <c r="AL31" s="2">
        <v>2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3">
        <f>DATE(BE31, MATCH(TRIM(BD31), {"ENERO";"FEBRERO";"MARZO";"ABRIL";"MAYO";"JUNIO";"JULIO";"AGOSTO";"SEPTIEMBRE";"OCTUBRE";"NOVIEMBRE";"DICIEMBRE"}, 0), BC31)</f>
        <v>44385</v>
      </c>
      <c r="BC31" s="2">
        <v>8</v>
      </c>
      <c r="BD31" s="2" t="s">
        <v>57</v>
      </c>
      <c r="BE31" s="2">
        <v>2021</v>
      </c>
      <c r="BF31" s="2"/>
      <c r="BG31" s="2">
        <v>1</v>
      </c>
      <c r="BH31" s="2">
        <v>1</v>
      </c>
      <c r="BI31" s="2" t="s">
        <v>143</v>
      </c>
      <c r="BJ31" s="2" t="s">
        <v>0</v>
      </c>
      <c r="BK31" s="2"/>
      <c r="BL31" s="2"/>
    </row>
    <row r="32" spans="1:64" ht="18.75" x14ac:dyDescent="0.25">
      <c r="A32" s="2">
        <v>31</v>
      </c>
      <c r="B32" s="2" t="str">
        <f t="shared" si="0"/>
        <v>ADN-P-31</v>
      </c>
      <c r="C32" s="2" t="s">
        <v>19</v>
      </c>
      <c r="D32" s="2" t="s">
        <v>111</v>
      </c>
      <c r="E32" s="2" t="s">
        <v>985</v>
      </c>
      <c r="F32" s="2" t="s">
        <v>984</v>
      </c>
      <c r="G32" s="2" t="s">
        <v>983</v>
      </c>
      <c r="H32" s="2" t="s">
        <v>982</v>
      </c>
      <c r="I32" s="2" t="s">
        <v>981</v>
      </c>
      <c r="J32" s="2" t="s">
        <v>980</v>
      </c>
      <c r="K32" s="2">
        <v>25</v>
      </c>
      <c r="L32" s="2">
        <v>10.6</v>
      </c>
      <c r="M32" s="2">
        <v>21.2</v>
      </c>
      <c r="N32" s="2">
        <v>9169</v>
      </c>
      <c r="O32" s="2">
        <v>9796</v>
      </c>
      <c r="P32" s="2">
        <f t="shared" si="1"/>
        <v>18965</v>
      </c>
      <c r="Q32" s="2" t="s">
        <v>682</v>
      </c>
      <c r="R32" s="2">
        <v>2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11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3">
        <f>DATE(BE32, MATCH(TRIM(BD32), {"ENERO";"FEBRERO";"MARZO";"ABRIL";"MAYO";"JUNIO";"JULIO";"AGOSTO";"SEPTIEMBRE";"OCTUBRE";"NOVIEMBRE";"DICIEMBRE"}, 0), BC32)</f>
        <v>44228</v>
      </c>
      <c r="BC32" s="2">
        <v>1</v>
      </c>
      <c r="BD32" s="2" t="s">
        <v>484</v>
      </c>
      <c r="BE32" s="2">
        <v>2021</v>
      </c>
      <c r="BF32" s="2"/>
      <c r="BG32" s="2">
        <v>1</v>
      </c>
      <c r="BH32" s="2">
        <v>2</v>
      </c>
      <c r="BI32" s="2" t="s">
        <v>1</v>
      </c>
      <c r="BJ32" s="2" t="s">
        <v>0</v>
      </c>
      <c r="BK32" s="2"/>
      <c r="BL32" s="2"/>
    </row>
    <row r="33" spans="1:64" ht="18.75" x14ac:dyDescent="0.25">
      <c r="A33" s="2">
        <v>32</v>
      </c>
      <c r="B33" s="2" t="str">
        <f t="shared" si="0"/>
        <v>ADN-P-32</v>
      </c>
      <c r="C33" s="2" t="s">
        <v>19</v>
      </c>
      <c r="D33" s="2" t="s">
        <v>221</v>
      </c>
      <c r="E33" s="2" t="s">
        <v>979</v>
      </c>
      <c r="F33" s="2" t="s">
        <v>512</v>
      </c>
      <c r="G33" s="2" t="s">
        <v>978</v>
      </c>
      <c r="H33" s="2" t="s">
        <v>977</v>
      </c>
      <c r="I33" s="2" t="s">
        <v>976</v>
      </c>
      <c r="J33" s="2" t="s">
        <v>215</v>
      </c>
      <c r="K33" s="2">
        <v>25877</v>
      </c>
      <c r="L33" s="2">
        <v>701.33</v>
      </c>
      <c r="M33" s="2">
        <v>1402.66</v>
      </c>
      <c r="N33" s="2">
        <v>6851</v>
      </c>
      <c r="O33" s="2">
        <v>8231</v>
      </c>
      <c r="P33" s="2">
        <f t="shared" si="1"/>
        <v>15082</v>
      </c>
      <c r="Q33" s="2" t="s">
        <v>86</v>
      </c>
      <c r="R33" s="2">
        <v>1</v>
      </c>
      <c r="S33" s="2">
        <v>0</v>
      </c>
      <c r="T33" s="2">
        <v>6</v>
      </c>
      <c r="U33" s="2">
        <v>2</v>
      </c>
      <c r="V33" s="2">
        <v>0</v>
      </c>
      <c r="W33" s="2">
        <v>70</v>
      </c>
      <c r="X33" s="2">
        <v>132</v>
      </c>
      <c r="Y33" s="2">
        <v>0</v>
      </c>
      <c r="Z33" s="2">
        <v>13</v>
      </c>
      <c r="AA33" s="2">
        <v>24</v>
      </c>
      <c r="AB33" s="2">
        <v>0</v>
      </c>
      <c r="AC33" s="2">
        <v>4</v>
      </c>
      <c r="AD33" s="2">
        <v>2</v>
      </c>
      <c r="AE33" s="2">
        <v>130</v>
      </c>
      <c r="AF33" s="2">
        <v>132</v>
      </c>
      <c r="AG33" s="2">
        <v>725</v>
      </c>
      <c r="AH33" s="2">
        <v>2</v>
      </c>
      <c r="AI33" s="2">
        <v>10</v>
      </c>
      <c r="AJ33" s="2">
        <v>25</v>
      </c>
      <c r="AK33" s="2">
        <v>2</v>
      </c>
      <c r="AL33" s="2">
        <v>47</v>
      </c>
      <c r="AM33" s="2">
        <v>0</v>
      </c>
      <c r="AN33" s="2">
        <v>0</v>
      </c>
      <c r="AO33" s="2">
        <v>1</v>
      </c>
      <c r="AP33" s="2">
        <v>0</v>
      </c>
      <c r="AQ33" s="2">
        <v>2</v>
      </c>
      <c r="AR33" s="2">
        <v>0</v>
      </c>
      <c r="AS33" s="2">
        <v>4</v>
      </c>
      <c r="AT33" s="2">
        <v>0</v>
      </c>
      <c r="AU33" s="2">
        <v>1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3">
        <f>DATE(BE33, MATCH(TRIM(BD33), {"ENERO";"FEBRERO";"MARZO";"ABRIL";"MAYO";"JUNIO";"JULIO";"AGOSTO";"SEPTIEMBRE";"OCTUBRE";"NOVIEMBRE";"DICIEMBRE"}, 0), BC33)</f>
        <v>44442</v>
      </c>
      <c r="BC33" s="2">
        <v>3</v>
      </c>
      <c r="BD33" s="2" t="s">
        <v>33</v>
      </c>
      <c r="BE33" s="2">
        <v>2021</v>
      </c>
      <c r="BF33" s="2"/>
      <c r="BG33" s="2">
        <v>1</v>
      </c>
      <c r="BH33" s="2">
        <v>1</v>
      </c>
      <c r="BI33" s="2" t="s">
        <v>143</v>
      </c>
      <c r="BJ33" s="2" t="s">
        <v>0</v>
      </c>
      <c r="BK33" s="2"/>
      <c r="BL33" s="2"/>
    </row>
    <row r="34" spans="1:64" ht="18.75" x14ac:dyDescent="0.25">
      <c r="A34" s="2">
        <v>33</v>
      </c>
      <c r="B34" s="2" t="str">
        <f t="shared" si="0"/>
        <v>ADN-P-33</v>
      </c>
      <c r="C34" s="2" t="s">
        <v>19</v>
      </c>
      <c r="D34" s="2" t="s">
        <v>137</v>
      </c>
      <c r="E34" s="2" t="s">
        <v>975</v>
      </c>
      <c r="F34" s="2" t="s">
        <v>512</v>
      </c>
      <c r="G34" s="2" t="s">
        <v>974</v>
      </c>
      <c r="H34" s="2" t="s">
        <v>973</v>
      </c>
      <c r="I34" s="2" t="s">
        <v>972</v>
      </c>
      <c r="J34" s="2" t="s">
        <v>215</v>
      </c>
      <c r="K34" s="2">
        <v>886</v>
      </c>
      <c r="L34" s="2">
        <v>0</v>
      </c>
      <c r="M34" s="2">
        <v>0</v>
      </c>
      <c r="N34" s="2">
        <v>6851</v>
      </c>
      <c r="O34" s="2">
        <v>8231</v>
      </c>
      <c r="P34" s="2">
        <f t="shared" si="1"/>
        <v>15082</v>
      </c>
      <c r="Q34" s="2" t="s">
        <v>192</v>
      </c>
      <c r="R34" s="2">
        <v>1</v>
      </c>
      <c r="S34" s="2">
        <v>0</v>
      </c>
      <c r="T34" s="2">
        <v>0</v>
      </c>
      <c r="U34" s="2">
        <v>0</v>
      </c>
      <c r="V34" s="2">
        <v>0</v>
      </c>
      <c r="W34" s="2">
        <v>1</v>
      </c>
      <c r="X34" s="2">
        <v>4</v>
      </c>
      <c r="Y34" s="2">
        <v>0</v>
      </c>
      <c r="Z34" s="2">
        <v>1</v>
      </c>
      <c r="AA34" s="2">
        <v>0</v>
      </c>
      <c r="AB34" s="2">
        <v>0</v>
      </c>
      <c r="AC34" s="2">
        <v>0</v>
      </c>
      <c r="AD34" s="2">
        <v>0</v>
      </c>
      <c r="AE34" s="2">
        <v>12</v>
      </c>
      <c r="AF34" s="2">
        <v>12</v>
      </c>
      <c r="AG34" s="2">
        <v>35</v>
      </c>
      <c r="AH34" s="2">
        <v>0</v>
      </c>
      <c r="AI34" s="2">
        <v>0</v>
      </c>
      <c r="AJ34" s="2">
        <v>0</v>
      </c>
      <c r="AK34" s="2">
        <v>1</v>
      </c>
      <c r="AL34" s="2">
        <v>2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3">
        <f>DATE(BE34, MATCH(TRIM(BD34), {"ENERO";"FEBRERO";"MARZO";"ABRIL";"MAYO";"JUNIO";"JULIO";"AGOSTO";"SEPTIEMBRE";"OCTUBRE";"NOVIEMBRE";"DICIEMBRE"}, 0), BC34)</f>
        <v>44323</v>
      </c>
      <c r="BC34" s="2">
        <v>7</v>
      </c>
      <c r="BD34" s="2" t="s">
        <v>79</v>
      </c>
      <c r="BE34" s="2">
        <v>2021</v>
      </c>
      <c r="BF34" s="2"/>
      <c r="BG34" s="2">
        <v>1</v>
      </c>
      <c r="BH34" s="2">
        <v>1</v>
      </c>
      <c r="BI34" s="2" t="s">
        <v>143</v>
      </c>
      <c r="BJ34" s="2" t="s">
        <v>0</v>
      </c>
      <c r="BK34" s="2"/>
      <c r="BL34" s="2"/>
    </row>
    <row r="35" spans="1:64" ht="18.75" x14ac:dyDescent="0.25">
      <c r="A35" s="2">
        <v>34</v>
      </c>
      <c r="B35" s="2" t="str">
        <f t="shared" si="0"/>
        <v>ADN-P-34</v>
      </c>
      <c r="C35" s="2" t="s">
        <v>9</v>
      </c>
      <c r="D35" s="2" t="s">
        <v>78</v>
      </c>
      <c r="E35" s="2" t="s">
        <v>971</v>
      </c>
      <c r="F35" s="2" t="s">
        <v>970</v>
      </c>
      <c r="G35" s="2" t="s">
        <v>969</v>
      </c>
      <c r="H35" s="2" t="s">
        <v>968</v>
      </c>
      <c r="I35" s="2" t="s">
        <v>967</v>
      </c>
      <c r="J35" s="2" t="s">
        <v>805</v>
      </c>
      <c r="K35" s="2">
        <v>100</v>
      </c>
      <c r="L35" s="2">
        <v>9.35</v>
      </c>
      <c r="M35" s="2">
        <v>18.7</v>
      </c>
      <c r="N35" s="2">
        <v>8085</v>
      </c>
      <c r="O35" s="2">
        <v>8843</v>
      </c>
      <c r="P35" s="2">
        <f t="shared" si="1"/>
        <v>16928</v>
      </c>
      <c r="Q35" s="2" t="s">
        <v>682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6</v>
      </c>
      <c r="AG35" s="2">
        <v>0</v>
      </c>
      <c r="AH35" s="2">
        <v>0</v>
      </c>
      <c r="AI35" s="2">
        <v>0</v>
      </c>
      <c r="AJ35" s="2">
        <v>0</v>
      </c>
      <c r="AK35" s="2">
        <v>1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3">
        <f>DATE(BE35, MATCH(TRIM(BD35), {"ENERO";"FEBRERO";"MARZO";"ABRIL";"MAYO";"JUNIO";"JULIO";"AGOSTO";"SEPTIEMBRE";"OCTUBRE";"NOVIEMBRE";"DICIEMBRE"}, 0), BC35)</f>
        <v>44461</v>
      </c>
      <c r="BC35" s="2">
        <v>22</v>
      </c>
      <c r="BD35" s="2" t="s">
        <v>33</v>
      </c>
      <c r="BE35" s="2">
        <v>2021</v>
      </c>
      <c r="BF35" s="2"/>
      <c r="BG35" s="2">
        <v>2</v>
      </c>
      <c r="BH35" s="2">
        <v>2</v>
      </c>
      <c r="BI35" s="2" t="s">
        <v>1</v>
      </c>
      <c r="BJ35" s="2" t="s">
        <v>0</v>
      </c>
      <c r="BK35" s="2"/>
      <c r="BL35" s="2"/>
    </row>
    <row r="36" spans="1:64" ht="18.75" x14ac:dyDescent="0.25">
      <c r="A36" s="2">
        <v>35</v>
      </c>
      <c r="B36" s="2" t="str">
        <f t="shared" si="0"/>
        <v>ADN-P-35</v>
      </c>
      <c r="C36" s="2" t="s">
        <v>9</v>
      </c>
      <c r="D36" s="2" t="s">
        <v>32</v>
      </c>
      <c r="E36" s="2" t="s">
        <v>966</v>
      </c>
      <c r="F36" s="2" t="s">
        <v>965</v>
      </c>
      <c r="G36" s="2" t="s">
        <v>964</v>
      </c>
      <c r="H36" s="2" t="s">
        <v>963</v>
      </c>
      <c r="I36" s="2" t="s">
        <v>962</v>
      </c>
      <c r="J36" s="2" t="s">
        <v>27</v>
      </c>
      <c r="K36" s="2">
        <v>70</v>
      </c>
      <c r="L36" s="2">
        <v>29.16</v>
      </c>
      <c r="M36" s="2">
        <v>58.32</v>
      </c>
      <c r="N36" s="2">
        <v>20277</v>
      </c>
      <c r="O36" s="2">
        <v>23099</v>
      </c>
      <c r="P36" s="2">
        <f t="shared" si="1"/>
        <v>43376</v>
      </c>
      <c r="Q36" s="2" t="s">
        <v>192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7</v>
      </c>
      <c r="AF36" s="2">
        <v>10</v>
      </c>
      <c r="AG36" s="2">
        <v>0</v>
      </c>
      <c r="AH36" s="2">
        <v>0</v>
      </c>
      <c r="AI36" s="2">
        <v>0</v>
      </c>
      <c r="AJ36" s="2">
        <v>0</v>
      </c>
      <c r="AK36" s="2">
        <v>1</v>
      </c>
      <c r="AL36" s="2">
        <v>3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3">
        <f>DATE(BE36, MATCH(TRIM(BD36), {"ENERO";"FEBRERO";"MARZO";"ABRIL";"MAYO";"JUNIO";"JULIO";"AGOSTO";"SEPTIEMBRE";"OCTUBRE";"NOVIEMBRE";"DICIEMBRE"}, 0), BC36)</f>
        <v>44458</v>
      </c>
      <c r="BC36" s="2">
        <v>19</v>
      </c>
      <c r="BD36" s="2" t="s">
        <v>33</v>
      </c>
      <c r="BE36" s="2">
        <v>2021</v>
      </c>
      <c r="BF36" s="2"/>
      <c r="BG36" s="2">
        <v>2</v>
      </c>
      <c r="BH36" s="2">
        <v>1</v>
      </c>
      <c r="BI36" s="2" t="s">
        <v>143</v>
      </c>
      <c r="BJ36" s="2" t="s">
        <v>0</v>
      </c>
      <c r="BK36" s="2"/>
      <c r="BL36" s="2"/>
    </row>
    <row r="37" spans="1:64" ht="18.75" x14ac:dyDescent="0.25">
      <c r="A37" s="2">
        <v>36</v>
      </c>
      <c r="B37" s="2" t="str">
        <f t="shared" si="0"/>
        <v>ADN-P-36</v>
      </c>
      <c r="C37" s="2" t="s">
        <v>9</v>
      </c>
      <c r="D37" s="2" t="s">
        <v>78</v>
      </c>
      <c r="E37" s="2" t="s">
        <v>961</v>
      </c>
      <c r="F37" s="2" t="s">
        <v>960</v>
      </c>
      <c r="G37" s="2" t="s">
        <v>959</v>
      </c>
      <c r="H37" s="2" t="s">
        <v>958</v>
      </c>
      <c r="I37" s="2" t="s">
        <v>957</v>
      </c>
      <c r="J37" s="2" t="s">
        <v>297</v>
      </c>
      <c r="K37" s="2">
        <v>1075.21</v>
      </c>
      <c r="L37" s="2">
        <v>223.8</v>
      </c>
      <c r="M37" s="2">
        <v>447.6</v>
      </c>
      <c r="N37" s="2">
        <v>27448</v>
      </c>
      <c r="O37" s="2">
        <v>29158</v>
      </c>
      <c r="P37" s="2">
        <f t="shared" si="1"/>
        <v>56606</v>
      </c>
      <c r="Q37" s="2" t="s">
        <v>86</v>
      </c>
      <c r="R37" s="2">
        <v>0</v>
      </c>
      <c r="S37" s="2">
        <v>0</v>
      </c>
      <c r="T37" s="2">
        <v>0</v>
      </c>
      <c r="U37" s="2">
        <v>1</v>
      </c>
      <c r="V37" s="2">
        <v>0</v>
      </c>
      <c r="W37" s="2">
        <v>0</v>
      </c>
      <c r="X37" s="2">
        <v>3</v>
      </c>
      <c r="Y37" s="2">
        <v>0</v>
      </c>
      <c r="Z37" s="2">
        <v>0</v>
      </c>
      <c r="AA37" s="2">
        <v>3</v>
      </c>
      <c r="AB37" s="2">
        <v>0</v>
      </c>
      <c r="AC37" s="2">
        <v>0</v>
      </c>
      <c r="AD37" s="2">
        <v>0</v>
      </c>
      <c r="AE37" s="2">
        <v>21</v>
      </c>
      <c r="AF37" s="2">
        <v>21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3">
        <f>DATE(BE37, MATCH(TRIM(BD37), {"ENERO";"FEBRERO";"MARZO";"ABRIL";"MAYO";"JUNIO";"JULIO";"AGOSTO";"SEPTIEMBRE";"OCTUBRE";"NOVIEMBRE";"DICIEMBRE"}, 0), BC37)</f>
        <v>44455</v>
      </c>
      <c r="BC37" s="2">
        <v>16</v>
      </c>
      <c r="BD37" s="2" t="s">
        <v>33</v>
      </c>
      <c r="BE37" s="2">
        <v>2021</v>
      </c>
      <c r="BF37" s="2"/>
      <c r="BG37" s="2">
        <v>2</v>
      </c>
      <c r="BH37" s="2">
        <v>1</v>
      </c>
      <c r="BI37" s="2" t="s">
        <v>143</v>
      </c>
      <c r="BJ37" s="2" t="s">
        <v>0</v>
      </c>
      <c r="BK37" s="2"/>
      <c r="BL37" s="2"/>
    </row>
    <row r="38" spans="1:64" ht="18.75" x14ac:dyDescent="0.25">
      <c r="A38" s="2">
        <v>37</v>
      </c>
      <c r="B38" s="2" t="str">
        <f t="shared" si="0"/>
        <v>ADN-P-37</v>
      </c>
      <c r="C38" s="2" t="s">
        <v>19</v>
      </c>
      <c r="D38" s="2" t="s">
        <v>137</v>
      </c>
      <c r="E38" s="2" t="s">
        <v>956</v>
      </c>
      <c r="F38" s="2" t="s">
        <v>955</v>
      </c>
      <c r="G38" s="2" t="s">
        <v>954</v>
      </c>
      <c r="H38" s="2" t="s">
        <v>953</v>
      </c>
      <c r="I38" s="2" t="s">
        <v>952</v>
      </c>
      <c r="J38" s="2" t="s">
        <v>614</v>
      </c>
      <c r="K38" s="2">
        <v>1885</v>
      </c>
      <c r="L38" s="2">
        <v>116.51</v>
      </c>
      <c r="M38" s="2">
        <v>233.02</v>
      </c>
      <c r="N38" s="2">
        <v>3737</v>
      </c>
      <c r="O38" s="2">
        <v>4055</v>
      </c>
      <c r="P38" s="2">
        <f t="shared" si="1"/>
        <v>7792</v>
      </c>
      <c r="Q38" s="2" t="s">
        <v>86</v>
      </c>
      <c r="R38" s="2">
        <v>1</v>
      </c>
      <c r="S38" s="2">
        <v>0</v>
      </c>
      <c r="T38" s="2">
        <v>2</v>
      </c>
      <c r="U38" s="2">
        <v>0</v>
      </c>
      <c r="V38" s="2">
        <v>0</v>
      </c>
      <c r="W38" s="2">
        <v>13</v>
      </c>
      <c r="X38" s="2">
        <v>12</v>
      </c>
      <c r="Y38" s="2">
        <v>0</v>
      </c>
      <c r="Z38" s="2">
        <v>3</v>
      </c>
      <c r="AA38" s="2">
        <v>0</v>
      </c>
      <c r="AB38" s="2">
        <v>0</v>
      </c>
      <c r="AC38" s="2">
        <v>0</v>
      </c>
      <c r="AD38" s="2">
        <v>0</v>
      </c>
      <c r="AE38" s="2">
        <v>26</v>
      </c>
      <c r="AF38" s="2">
        <v>28</v>
      </c>
      <c r="AG38" s="2">
        <v>0</v>
      </c>
      <c r="AH38" s="2">
        <v>1</v>
      </c>
      <c r="AI38" s="2">
        <v>1</v>
      </c>
      <c r="AJ38" s="2">
        <v>0</v>
      </c>
      <c r="AK38" s="2">
        <v>1</v>
      </c>
      <c r="AL38" s="2">
        <v>10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3">
        <f>DATE(BE38, MATCH(TRIM(BD38), {"ENERO";"FEBRERO";"MARZO";"ABRIL";"MAYO";"JUNIO";"JULIO";"AGOSTO";"SEPTIEMBRE";"OCTUBRE";"NOVIEMBRE";"DICIEMBRE"}, 0), BC38)</f>
        <v>44469</v>
      </c>
      <c r="BC38" s="2">
        <v>30</v>
      </c>
      <c r="BD38" s="2" t="s">
        <v>33</v>
      </c>
      <c r="BE38" s="2">
        <v>2021</v>
      </c>
      <c r="BF38" s="2"/>
      <c r="BG38" s="2">
        <v>1</v>
      </c>
      <c r="BH38" s="2">
        <v>1</v>
      </c>
      <c r="BI38" s="2" t="s">
        <v>143</v>
      </c>
      <c r="BJ38" s="2" t="s">
        <v>0</v>
      </c>
      <c r="BK38" s="2"/>
      <c r="BL38" s="2"/>
    </row>
    <row r="39" spans="1:64" ht="18.75" x14ac:dyDescent="0.25">
      <c r="A39" s="2">
        <v>38</v>
      </c>
      <c r="B39" s="2" t="str">
        <f t="shared" si="0"/>
        <v>ADN-P-38</v>
      </c>
      <c r="C39" s="2" t="s">
        <v>9</v>
      </c>
      <c r="D39" s="2" t="s">
        <v>32</v>
      </c>
      <c r="E39" s="2" t="s">
        <v>951</v>
      </c>
      <c r="F39" s="2" t="s">
        <v>950</v>
      </c>
      <c r="G39" s="2" t="s">
        <v>949</v>
      </c>
      <c r="H39" s="2" t="s">
        <v>948</v>
      </c>
      <c r="I39" s="2" t="s">
        <v>947</v>
      </c>
      <c r="J39" s="2" t="s">
        <v>204</v>
      </c>
      <c r="K39" s="2">
        <v>225</v>
      </c>
      <c r="L39" s="2">
        <v>55.66</v>
      </c>
      <c r="M39" s="2">
        <v>111.32</v>
      </c>
      <c r="N39" s="2">
        <v>24591</v>
      </c>
      <c r="O39" s="2">
        <v>26673</v>
      </c>
      <c r="P39" s="2">
        <f t="shared" si="1"/>
        <v>51264</v>
      </c>
      <c r="Q39" s="2" t="s">
        <v>86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5</v>
      </c>
      <c r="Y39" s="2">
        <v>0</v>
      </c>
      <c r="Z39" s="2">
        <v>0</v>
      </c>
      <c r="AA39" s="2">
        <v>8</v>
      </c>
      <c r="AB39" s="2">
        <v>0</v>
      </c>
      <c r="AC39" s="2">
        <v>0</v>
      </c>
      <c r="AD39" s="2">
        <v>0</v>
      </c>
      <c r="AE39" s="2">
        <v>2</v>
      </c>
      <c r="AF39" s="2">
        <v>4</v>
      </c>
      <c r="AG39" s="2">
        <v>23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3">
        <f>DATE(BE39, MATCH(TRIM(BD39), {"ENERO";"FEBRERO";"MARZO";"ABRIL";"MAYO";"JUNIO";"JULIO";"AGOSTO";"SEPTIEMBRE";"OCTUBRE";"NOVIEMBRE";"DICIEMBRE"}, 0), BC39)</f>
        <v>44471</v>
      </c>
      <c r="BC39" s="2">
        <v>2</v>
      </c>
      <c r="BD39" s="2" t="s">
        <v>26</v>
      </c>
      <c r="BE39" s="2">
        <v>2021</v>
      </c>
      <c r="BF39" s="2"/>
      <c r="BG39" s="2">
        <v>2</v>
      </c>
      <c r="BH39" s="2">
        <v>1</v>
      </c>
      <c r="BI39" s="2" t="s">
        <v>143</v>
      </c>
      <c r="BJ39" s="2" t="s">
        <v>0</v>
      </c>
      <c r="BK39" s="2"/>
      <c r="BL39" s="2"/>
    </row>
    <row r="40" spans="1:64" ht="18.75" x14ac:dyDescent="0.25">
      <c r="A40" s="2">
        <v>39</v>
      </c>
      <c r="B40" s="2" t="str">
        <f t="shared" si="0"/>
        <v>ADN-P-39</v>
      </c>
      <c r="C40" s="2" t="s">
        <v>19</v>
      </c>
      <c r="D40" s="2" t="s">
        <v>946</v>
      </c>
      <c r="E40" s="2" t="s">
        <v>945</v>
      </c>
      <c r="F40" s="2" t="s">
        <v>944</v>
      </c>
      <c r="G40" s="2" t="s">
        <v>943</v>
      </c>
      <c r="H40" s="2" t="s">
        <v>942</v>
      </c>
      <c r="I40" s="2" t="s">
        <v>941</v>
      </c>
      <c r="J40" s="2" t="s">
        <v>105</v>
      </c>
      <c r="K40" s="2">
        <v>325</v>
      </c>
      <c r="L40" s="2">
        <v>7.96</v>
      </c>
      <c r="M40" s="2">
        <v>15.92</v>
      </c>
      <c r="N40" s="2">
        <v>2703</v>
      </c>
      <c r="O40" s="2">
        <v>3203</v>
      </c>
      <c r="P40" s="2">
        <f t="shared" si="1"/>
        <v>5906</v>
      </c>
      <c r="Q40" s="2" t="s">
        <v>86</v>
      </c>
      <c r="R40" s="2">
        <v>1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4</v>
      </c>
      <c r="Y40" s="2">
        <v>0</v>
      </c>
      <c r="Z40" s="2">
        <v>0</v>
      </c>
      <c r="AA40" s="2">
        <v>8</v>
      </c>
      <c r="AB40" s="2">
        <v>0</v>
      </c>
      <c r="AC40" s="2">
        <v>0</v>
      </c>
      <c r="AD40" s="2">
        <v>0</v>
      </c>
      <c r="AE40" s="2">
        <v>15</v>
      </c>
      <c r="AF40" s="2">
        <v>17</v>
      </c>
      <c r="AG40" s="2">
        <v>0</v>
      </c>
      <c r="AH40" s="2">
        <v>0</v>
      </c>
      <c r="AI40" s="2">
        <v>5</v>
      </c>
      <c r="AJ40" s="2">
        <v>0</v>
      </c>
      <c r="AK40" s="2">
        <v>0</v>
      </c>
      <c r="AL40" s="2">
        <v>4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3">
        <f>DATE(BE40, MATCH(TRIM(BD40), {"ENERO";"FEBRERO";"MARZO";"ABRIL";"MAYO";"JUNIO";"JULIO";"AGOSTO";"SEPTIEMBRE";"OCTUBRE";"NOVIEMBRE";"DICIEMBRE"}, 0), BC40)</f>
        <v>44483</v>
      </c>
      <c r="BC40" s="2">
        <v>14</v>
      </c>
      <c r="BD40" s="2" t="s">
        <v>26</v>
      </c>
      <c r="BE40" s="2">
        <v>2021</v>
      </c>
      <c r="BF40" s="2"/>
      <c r="BG40" s="2">
        <v>1</v>
      </c>
      <c r="BH40" s="2">
        <v>1</v>
      </c>
      <c r="BI40" s="2" t="s">
        <v>143</v>
      </c>
      <c r="BJ40" s="2" t="s">
        <v>0</v>
      </c>
      <c r="BK40" s="2"/>
      <c r="BL40" s="2"/>
    </row>
    <row r="41" spans="1:64" ht="18.75" x14ac:dyDescent="0.25">
      <c r="A41" s="2">
        <v>40</v>
      </c>
      <c r="B41" s="2" t="str">
        <f t="shared" si="0"/>
        <v>ADN-P-40</v>
      </c>
      <c r="C41" s="2" t="s">
        <v>19</v>
      </c>
      <c r="D41" s="2" t="s">
        <v>137</v>
      </c>
      <c r="E41" s="2" t="s">
        <v>940</v>
      </c>
      <c r="F41" s="2" t="s">
        <v>939</v>
      </c>
      <c r="G41" s="2" t="s">
        <v>938</v>
      </c>
      <c r="H41" s="2" t="s">
        <v>937</v>
      </c>
      <c r="I41" s="2" t="s">
        <v>936</v>
      </c>
      <c r="J41" s="2" t="s">
        <v>840</v>
      </c>
      <c r="K41" s="2">
        <v>1402</v>
      </c>
      <c r="L41" s="2">
        <v>74.98</v>
      </c>
      <c r="M41" s="2">
        <v>149.96</v>
      </c>
      <c r="N41" s="2">
        <v>2489</v>
      </c>
      <c r="O41" s="2">
        <v>3046</v>
      </c>
      <c r="P41" s="2">
        <f t="shared" si="1"/>
        <v>5535</v>
      </c>
      <c r="Q41" s="2" t="s">
        <v>192</v>
      </c>
      <c r="R41" s="2">
        <v>0</v>
      </c>
      <c r="S41" s="2">
        <v>0</v>
      </c>
      <c r="T41" s="2">
        <v>2</v>
      </c>
      <c r="U41" s="2">
        <v>0</v>
      </c>
      <c r="V41" s="2">
        <v>0</v>
      </c>
      <c r="W41" s="2">
        <v>0</v>
      </c>
      <c r="X41" s="2">
        <v>11</v>
      </c>
      <c r="Y41" s="2">
        <v>0</v>
      </c>
      <c r="Z41" s="2">
        <v>2</v>
      </c>
      <c r="AA41" s="2">
        <v>0</v>
      </c>
      <c r="AB41" s="2">
        <v>0</v>
      </c>
      <c r="AC41" s="2">
        <v>0</v>
      </c>
      <c r="AD41" s="2">
        <v>0</v>
      </c>
      <c r="AE41" s="2">
        <v>15</v>
      </c>
      <c r="AF41" s="2">
        <v>15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3">
        <f>DATE(BE41, MATCH(TRIM(BD41), {"ENERO";"FEBRERO";"MARZO";"ABRIL";"MAYO";"JUNIO";"JULIO";"AGOSTO";"SEPTIEMBRE";"OCTUBRE";"NOVIEMBRE";"DICIEMBRE"}, 0), BC41)</f>
        <v>44315</v>
      </c>
      <c r="BC41" s="2">
        <v>29</v>
      </c>
      <c r="BD41" s="2" t="s">
        <v>93</v>
      </c>
      <c r="BE41" s="2">
        <v>2021</v>
      </c>
      <c r="BF41" s="2"/>
      <c r="BG41" s="2">
        <v>1</v>
      </c>
      <c r="BH41" s="2">
        <v>1</v>
      </c>
      <c r="BI41" s="2" t="s">
        <v>143</v>
      </c>
      <c r="BJ41" s="2" t="s">
        <v>0</v>
      </c>
      <c r="BK41" s="2"/>
      <c r="BL41" s="2"/>
    </row>
    <row r="42" spans="1:64" ht="18.75" x14ac:dyDescent="0.25">
      <c r="A42" s="2">
        <v>41</v>
      </c>
      <c r="B42" s="2" t="str">
        <f t="shared" si="0"/>
        <v>ADN-P-41</v>
      </c>
      <c r="C42" s="2" t="s">
        <v>19</v>
      </c>
      <c r="D42" s="2" t="s">
        <v>137</v>
      </c>
      <c r="E42" s="2" t="s">
        <v>935</v>
      </c>
      <c r="F42" s="2" t="s">
        <v>934</v>
      </c>
      <c r="G42" s="2" t="s">
        <v>933</v>
      </c>
      <c r="H42" s="2" t="s">
        <v>932</v>
      </c>
      <c r="I42" s="2" t="s">
        <v>931</v>
      </c>
      <c r="J42" s="2" t="s">
        <v>215</v>
      </c>
      <c r="K42" s="2">
        <v>1783.73</v>
      </c>
      <c r="L42" s="2">
        <v>287.95</v>
      </c>
      <c r="M42" s="2">
        <v>575.9</v>
      </c>
      <c r="N42" s="2">
        <v>6851</v>
      </c>
      <c r="O42" s="2">
        <v>8231</v>
      </c>
      <c r="P42" s="2">
        <f t="shared" si="1"/>
        <v>15082</v>
      </c>
      <c r="Q42" s="2" t="s">
        <v>192</v>
      </c>
      <c r="R42" s="2">
        <v>3</v>
      </c>
      <c r="S42" s="2">
        <v>0</v>
      </c>
      <c r="T42" s="2">
        <v>0</v>
      </c>
      <c r="U42" s="2">
        <v>0</v>
      </c>
      <c r="V42" s="2">
        <v>0</v>
      </c>
      <c r="W42" s="2">
        <v>30</v>
      </c>
      <c r="X42" s="2">
        <v>6</v>
      </c>
      <c r="Y42" s="2">
        <v>0</v>
      </c>
      <c r="Z42" s="2">
        <v>2</v>
      </c>
      <c r="AA42" s="2">
        <v>0</v>
      </c>
      <c r="AB42" s="2">
        <v>0</v>
      </c>
      <c r="AC42" s="2">
        <v>0</v>
      </c>
      <c r="AD42" s="2">
        <v>0</v>
      </c>
      <c r="AE42" s="2">
        <v>45</v>
      </c>
      <c r="AF42" s="2">
        <v>49</v>
      </c>
      <c r="AG42" s="2">
        <v>0</v>
      </c>
      <c r="AH42" s="2">
        <v>0</v>
      </c>
      <c r="AI42" s="2">
        <v>0</v>
      </c>
      <c r="AJ42" s="2">
        <v>36</v>
      </c>
      <c r="AK42" s="2">
        <v>0</v>
      </c>
      <c r="AL42" s="2">
        <v>8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3">
        <f>DATE(BE42, MATCH(TRIM(BD42), {"ENERO";"FEBRERO";"MARZO";"ABRIL";"MAYO";"JUNIO";"JULIO";"AGOSTO";"SEPTIEMBRE";"OCTUBRE";"NOVIEMBRE";"DICIEMBRE"}, 0), BC42)</f>
        <v>44399</v>
      </c>
      <c r="BC42" s="2">
        <v>22</v>
      </c>
      <c r="BD42" s="2" t="s">
        <v>57</v>
      </c>
      <c r="BE42" s="2">
        <v>2021</v>
      </c>
      <c r="BF42" s="2"/>
      <c r="BG42" s="2">
        <v>1</v>
      </c>
      <c r="BH42" s="2">
        <v>1</v>
      </c>
      <c r="BI42" s="2" t="s">
        <v>143</v>
      </c>
      <c r="BJ42" s="2" t="s">
        <v>0</v>
      </c>
      <c r="BK42" s="2"/>
      <c r="BL42" s="2"/>
    </row>
    <row r="43" spans="1:64" ht="18.75" x14ac:dyDescent="0.25">
      <c r="A43" s="2">
        <v>42</v>
      </c>
      <c r="B43" s="2" t="str">
        <f t="shared" si="0"/>
        <v>ADN-P-42</v>
      </c>
      <c r="C43" s="2" t="s">
        <v>9</v>
      </c>
      <c r="D43" s="2" t="s">
        <v>32</v>
      </c>
      <c r="E43" s="2" t="s">
        <v>930</v>
      </c>
      <c r="F43" s="2" t="s">
        <v>929</v>
      </c>
      <c r="G43" s="2" t="s">
        <v>928</v>
      </c>
      <c r="H43" s="2" t="s">
        <v>927</v>
      </c>
      <c r="I43" s="2" t="s">
        <v>926</v>
      </c>
      <c r="J43" s="2" t="s">
        <v>925</v>
      </c>
      <c r="K43" s="2">
        <v>2541</v>
      </c>
      <c r="L43" s="2">
        <v>232.52</v>
      </c>
      <c r="M43" s="2">
        <v>465.04</v>
      </c>
      <c r="N43" s="2">
        <v>6295</v>
      </c>
      <c r="O43" s="2">
        <v>7445</v>
      </c>
      <c r="P43" s="2">
        <f t="shared" si="1"/>
        <v>13740</v>
      </c>
      <c r="Q43" s="2" t="s">
        <v>192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10</v>
      </c>
      <c r="AG43" s="2">
        <v>2281.2800000000002</v>
      </c>
      <c r="AH43" s="2">
        <v>3</v>
      </c>
      <c r="AI43" s="2">
        <v>4</v>
      </c>
      <c r="AJ43" s="2">
        <v>0</v>
      </c>
      <c r="AK43" s="2">
        <v>1</v>
      </c>
      <c r="AL43" s="2">
        <v>13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3">
        <f>DATE(BE43, MATCH(TRIM(BD43), {"ENERO";"FEBRERO";"MARZO";"ABRIL";"MAYO";"JUNIO";"JULIO";"AGOSTO";"SEPTIEMBRE";"OCTUBRE";"NOVIEMBRE";"DICIEMBRE"}, 0), BC43)</f>
        <v>44314</v>
      </c>
      <c r="BC43" s="2">
        <v>28</v>
      </c>
      <c r="BD43" s="2" t="s">
        <v>93</v>
      </c>
      <c r="BE43" s="2">
        <v>2021</v>
      </c>
      <c r="BF43" s="2"/>
      <c r="BG43" s="2">
        <v>2</v>
      </c>
      <c r="BH43" s="2">
        <v>1</v>
      </c>
      <c r="BI43" s="2" t="s">
        <v>143</v>
      </c>
      <c r="BJ43" s="2" t="s">
        <v>0</v>
      </c>
      <c r="BK43" s="2"/>
      <c r="BL43" s="2"/>
    </row>
    <row r="44" spans="1:64" ht="18.75" x14ac:dyDescent="0.25">
      <c r="A44" s="2">
        <v>43</v>
      </c>
      <c r="B44" s="2" t="str">
        <f t="shared" si="0"/>
        <v>ADN-P-43</v>
      </c>
      <c r="C44" s="2" t="s">
        <v>19</v>
      </c>
      <c r="D44" s="2" t="s">
        <v>47</v>
      </c>
      <c r="E44" s="2" t="s">
        <v>924</v>
      </c>
      <c r="F44" s="2" t="s">
        <v>923</v>
      </c>
      <c r="G44" s="2" t="s">
        <v>922</v>
      </c>
      <c r="H44" s="2" t="s">
        <v>921</v>
      </c>
      <c r="I44" s="2" t="s">
        <v>920</v>
      </c>
      <c r="J44" s="2" t="s">
        <v>919</v>
      </c>
      <c r="K44" s="2">
        <v>420</v>
      </c>
      <c r="L44" s="2">
        <v>47.28</v>
      </c>
      <c r="M44" s="2">
        <v>94.56</v>
      </c>
      <c r="N44" s="2">
        <v>1964</v>
      </c>
      <c r="O44" s="2">
        <v>2426</v>
      </c>
      <c r="P44" s="2">
        <f t="shared" si="1"/>
        <v>4390</v>
      </c>
      <c r="Q44" s="2" t="s">
        <v>86</v>
      </c>
      <c r="R44" s="2">
        <v>3</v>
      </c>
      <c r="S44" s="2">
        <v>1</v>
      </c>
      <c r="T44" s="2">
        <v>2</v>
      </c>
      <c r="U44" s="2">
        <v>1</v>
      </c>
      <c r="V44" s="2">
        <v>0</v>
      </c>
      <c r="W44" s="2">
        <v>57</v>
      </c>
      <c r="X44" s="2">
        <v>25</v>
      </c>
      <c r="Y44" s="2">
        <v>3</v>
      </c>
      <c r="Z44" s="2">
        <v>5</v>
      </c>
      <c r="AA44" s="2">
        <v>10</v>
      </c>
      <c r="AB44" s="2">
        <v>0</v>
      </c>
      <c r="AC44" s="2">
        <v>2</v>
      </c>
      <c r="AD44" s="2">
        <v>1</v>
      </c>
      <c r="AE44" s="2">
        <v>3</v>
      </c>
      <c r="AF44" s="2">
        <v>39</v>
      </c>
      <c r="AG44" s="2" t="s">
        <v>918</v>
      </c>
      <c r="AH44" s="2">
        <v>0</v>
      </c>
      <c r="AI44" s="2">
        <v>12</v>
      </c>
      <c r="AJ44" s="2">
        <v>0</v>
      </c>
      <c r="AK44" s="2">
        <v>0</v>
      </c>
      <c r="AL44" s="2">
        <v>3</v>
      </c>
      <c r="AM44" s="2">
        <v>1</v>
      </c>
      <c r="AN44" s="2">
        <v>1</v>
      </c>
      <c r="AO44" s="2">
        <v>1</v>
      </c>
      <c r="AP44" s="2">
        <v>0</v>
      </c>
      <c r="AQ44" s="2">
        <v>2</v>
      </c>
      <c r="AR44" s="2">
        <v>0</v>
      </c>
      <c r="AS44" s="2">
        <v>1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3">
        <f>DATE(BE44, MATCH(TRIM(BD44), {"ENERO";"FEBRERO";"MARZO";"ABRIL";"MAYO";"JUNIO";"JULIO";"AGOSTO";"SEPTIEMBRE";"OCTUBRE";"NOVIEMBRE";"DICIEMBRE"}, 0), BC44)</f>
        <v>44498</v>
      </c>
      <c r="BC44" s="2">
        <v>29</v>
      </c>
      <c r="BD44" s="2" t="s">
        <v>26</v>
      </c>
      <c r="BE44" s="2">
        <v>2021</v>
      </c>
      <c r="BF44" s="2"/>
      <c r="BG44" s="2">
        <v>1</v>
      </c>
      <c r="BH44" s="2">
        <v>1</v>
      </c>
      <c r="BI44" s="2" t="s">
        <v>143</v>
      </c>
      <c r="BJ44" s="2" t="s">
        <v>0</v>
      </c>
      <c r="BK44" s="2"/>
      <c r="BL44" s="2"/>
    </row>
    <row r="45" spans="1:64" ht="18.75" x14ac:dyDescent="0.25">
      <c r="A45" s="2">
        <v>44</v>
      </c>
      <c r="B45" s="2" t="str">
        <f t="shared" si="0"/>
        <v>ADN-P-44</v>
      </c>
      <c r="C45" s="2" t="s">
        <v>19</v>
      </c>
      <c r="D45" s="2" t="s">
        <v>221</v>
      </c>
      <c r="E45" s="2" t="s">
        <v>917</v>
      </c>
      <c r="F45" s="2" t="s">
        <v>512</v>
      </c>
      <c r="G45" s="2" t="s">
        <v>916</v>
      </c>
      <c r="H45" s="2" t="s">
        <v>915</v>
      </c>
      <c r="I45" s="2" t="s">
        <v>914</v>
      </c>
      <c r="J45" s="2" t="s">
        <v>215</v>
      </c>
      <c r="K45" s="2">
        <v>10285</v>
      </c>
      <c r="L45" s="2">
        <v>306.04000000000002</v>
      </c>
      <c r="M45" s="2">
        <v>612.08000000000004</v>
      </c>
      <c r="N45" s="2">
        <v>6851</v>
      </c>
      <c r="O45" s="2">
        <v>8231</v>
      </c>
      <c r="P45" s="2">
        <f t="shared" si="1"/>
        <v>15082</v>
      </c>
      <c r="Q45" s="2" t="s">
        <v>192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117</v>
      </c>
      <c r="X45" s="2">
        <v>89</v>
      </c>
      <c r="Y45" s="2">
        <v>0</v>
      </c>
      <c r="Z45" s="2">
        <v>1</v>
      </c>
      <c r="AA45" s="2">
        <v>11</v>
      </c>
      <c r="AB45" s="2">
        <v>0</v>
      </c>
      <c r="AC45" s="2">
        <v>5</v>
      </c>
      <c r="AD45" s="2">
        <v>1</v>
      </c>
      <c r="AE45" s="2">
        <v>94</v>
      </c>
      <c r="AF45" s="2">
        <v>94</v>
      </c>
      <c r="AG45" s="2">
        <v>192</v>
      </c>
      <c r="AH45" s="2">
        <v>0</v>
      </c>
      <c r="AI45" s="2">
        <v>8</v>
      </c>
      <c r="AJ45" s="2">
        <v>81</v>
      </c>
      <c r="AK45" s="2">
        <v>0</v>
      </c>
      <c r="AL45" s="2">
        <v>28</v>
      </c>
      <c r="AM45" s="2">
        <v>1</v>
      </c>
      <c r="AN45" s="2">
        <v>1</v>
      </c>
      <c r="AO45" s="2">
        <v>7</v>
      </c>
      <c r="AP45" s="2">
        <v>0</v>
      </c>
      <c r="AQ45" s="2">
        <v>4</v>
      </c>
      <c r="AR45" s="2">
        <v>0</v>
      </c>
      <c r="AS45" s="2">
        <v>2</v>
      </c>
      <c r="AT45" s="2">
        <v>1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4</v>
      </c>
      <c r="BB45" s="3">
        <f>DATE(BE45, MATCH(TRIM(BD45), {"ENERO";"FEBRERO";"MARZO";"ABRIL";"MAYO";"JUNIO";"JULIO";"AGOSTO";"SEPTIEMBRE";"OCTUBRE";"NOVIEMBRE";"DICIEMBRE"}, 0), BC45)</f>
        <v>44496</v>
      </c>
      <c r="BC45" s="2">
        <v>27</v>
      </c>
      <c r="BD45" s="2" t="s">
        <v>26</v>
      </c>
      <c r="BE45" s="2">
        <v>2021</v>
      </c>
      <c r="BF45" s="2"/>
      <c r="BG45" s="2">
        <v>1</v>
      </c>
      <c r="BH45" s="2">
        <v>1</v>
      </c>
      <c r="BI45" s="2" t="s">
        <v>143</v>
      </c>
      <c r="BJ45" s="2" t="s">
        <v>0</v>
      </c>
      <c r="BK45" s="2"/>
      <c r="BL45" s="2"/>
    </row>
    <row r="46" spans="1:64" ht="18.75" x14ac:dyDescent="0.25">
      <c r="A46" s="2">
        <v>45</v>
      </c>
      <c r="B46" s="2" t="str">
        <f t="shared" si="0"/>
        <v>ADN-P-45</v>
      </c>
      <c r="C46" s="2" t="s">
        <v>9</v>
      </c>
      <c r="D46" s="2" t="s">
        <v>32</v>
      </c>
      <c r="E46" s="2" t="s">
        <v>913</v>
      </c>
      <c r="F46" s="2" t="s">
        <v>912</v>
      </c>
      <c r="G46" s="2" t="s">
        <v>911</v>
      </c>
      <c r="H46" s="2" t="s">
        <v>910</v>
      </c>
      <c r="I46" s="2" t="s">
        <v>909</v>
      </c>
      <c r="J46" s="2" t="s">
        <v>908</v>
      </c>
      <c r="K46" s="2">
        <v>3569.14</v>
      </c>
      <c r="L46" s="2">
        <v>241.38</v>
      </c>
      <c r="M46" s="2">
        <v>482.76</v>
      </c>
      <c r="N46" s="2">
        <v>7504</v>
      </c>
      <c r="O46" s="2">
        <v>8128</v>
      </c>
      <c r="P46" s="2">
        <f t="shared" si="1"/>
        <v>15632</v>
      </c>
      <c r="Q46" s="2" t="s">
        <v>192</v>
      </c>
      <c r="R46" s="2">
        <v>1</v>
      </c>
      <c r="S46" s="2">
        <v>0</v>
      </c>
      <c r="T46" s="2">
        <v>0</v>
      </c>
      <c r="U46" s="2">
        <v>1</v>
      </c>
      <c r="V46" s="2">
        <v>0</v>
      </c>
      <c r="W46" s="2">
        <v>38</v>
      </c>
      <c r="X46" s="2">
        <v>23</v>
      </c>
      <c r="Y46" s="2">
        <v>2</v>
      </c>
      <c r="Z46" s="2">
        <v>3</v>
      </c>
      <c r="AA46" s="2">
        <v>0</v>
      </c>
      <c r="AB46" s="2">
        <v>0</v>
      </c>
      <c r="AC46" s="2">
        <v>0</v>
      </c>
      <c r="AD46" s="2">
        <v>0</v>
      </c>
      <c r="AE46" s="2">
        <v>50</v>
      </c>
      <c r="AF46" s="2">
        <v>54</v>
      </c>
      <c r="AG46" s="2">
        <v>182.6</v>
      </c>
      <c r="AH46" s="2">
        <v>0</v>
      </c>
      <c r="AI46" s="2">
        <v>0</v>
      </c>
      <c r="AJ46" s="2">
        <v>0</v>
      </c>
      <c r="AK46" s="2">
        <v>2</v>
      </c>
      <c r="AL46" s="2">
        <v>0</v>
      </c>
      <c r="AM46" s="2">
        <v>1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1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3">
        <f>DATE(BE46, MATCH(TRIM(BD46), {"ENERO";"FEBRERO";"MARZO";"ABRIL";"MAYO";"JUNIO";"JULIO";"AGOSTO";"SEPTIEMBRE";"OCTUBRE";"NOVIEMBRE";"DICIEMBRE"}, 0), BC46)</f>
        <v>44478</v>
      </c>
      <c r="BC46" s="2">
        <v>9</v>
      </c>
      <c r="BD46" s="2" t="s">
        <v>26</v>
      </c>
      <c r="BE46" s="2">
        <v>2021</v>
      </c>
      <c r="BF46" s="2"/>
      <c r="BG46" s="2">
        <v>2</v>
      </c>
      <c r="BH46" s="2">
        <v>1</v>
      </c>
      <c r="BI46" s="2" t="s">
        <v>143</v>
      </c>
      <c r="BJ46" s="2" t="s">
        <v>0</v>
      </c>
      <c r="BK46" s="2"/>
      <c r="BL46" s="2"/>
    </row>
    <row r="47" spans="1:64" ht="18.75" x14ac:dyDescent="0.25">
      <c r="A47" s="2">
        <v>46</v>
      </c>
      <c r="B47" s="2" t="str">
        <f t="shared" si="0"/>
        <v>ADN-P-46</v>
      </c>
      <c r="C47" s="2" t="s">
        <v>119</v>
      </c>
      <c r="D47" s="2" t="s">
        <v>118</v>
      </c>
      <c r="E47" s="2" t="s">
        <v>907</v>
      </c>
      <c r="F47" s="2" t="s">
        <v>906</v>
      </c>
      <c r="G47" s="2" t="s">
        <v>905</v>
      </c>
      <c r="H47" s="2" t="s">
        <v>904</v>
      </c>
      <c r="I47" s="2" t="s">
        <v>903</v>
      </c>
      <c r="J47" s="2" t="s">
        <v>361</v>
      </c>
      <c r="K47" s="2">
        <v>256392.99</v>
      </c>
      <c r="L47" s="2">
        <v>2060.2600000000002</v>
      </c>
      <c r="M47" s="2">
        <v>4120.5200000000004</v>
      </c>
      <c r="N47" s="2">
        <v>13747</v>
      </c>
      <c r="O47" s="2">
        <v>14873</v>
      </c>
      <c r="P47" s="2">
        <f t="shared" si="1"/>
        <v>28620</v>
      </c>
      <c r="Q47" s="2" t="s">
        <v>86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56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206</v>
      </c>
      <c r="AG47" s="2">
        <v>0</v>
      </c>
      <c r="AH47" s="2">
        <v>2</v>
      </c>
      <c r="AI47" s="2">
        <v>0</v>
      </c>
      <c r="AJ47" s="2">
        <v>2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3">
        <f>DATE(BE47, MATCH(TRIM(BD47), {"ENERO";"FEBRERO";"MARZO";"ABRIL";"MAYO";"JUNIO";"JULIO";"AGOSTO";"SEPTIEMBRE";"OCTUBRE";"NOVIEMBRE";"DICIEMBRE"}, 0), BC47)</f>
        <v>44507</v>
      </c>
      <c r="BC47" s="2">
        <v>7</v>
      </c>
      <c r="BD47" s="2" t="s">
        <v>20</v>
      </c>
      <c r="BE47" s="2">
        <v>2021</v>
      </c>
      <c r="BF47" s="2"/>
      <c r="BG47" s="2">
        <v>3</v>
      </c>
      <c r="BH47" s="2">
        <v>1</v>
      </c>
      <c r="BI47" s="2" t="s">
        <v>1</v>
      </c>
      <c r="BJ47" s="2" t="s">
        <v>0</v>
      </c>
      <c r="BK47" s="2"/>
      <c r="BL47" s="2"/>
    </row>
    <row r="48" spans="1:64" ht="18.75" x14ac:dyDescent="0.25">
      <c r="A48" s="2">
        <v>47</v>
      </c>
      <c r="B48" s="2" t="str">
        <f t="shared" si="0"/>
        <v>ADN-P-47</v>
      </c>
      <c r="C48" s="2" t="s">
        <v>19</v>
      </c>
      <c r="D48" s="2" t="s">
        <v>47</v>
      </c>
      <c r="E48" s="2" t="s">
        <v>902</v>
      </c>
      <c r="F48" s="2" t="s">
        <v>901</v>
      </c>
      <c r="G48" s="2" t="s">
        <v>900</v>
      </c>
      <c r="H48" s="2" t="s">
        <v>899</v>
      </c>
      <c r="I48" s="2" t="s">
        <v>898</v>
      </c>
      <c r="J48" s="2" t="s">
        <v>897</v>
      </c>
      <c r="K48" s="2">
        <v>35.33</v>
      </c>
      <c r="L48" s="2">
        <v>11.228999999999999</v>
      </c>
      <c r="M48" s="2">
        <v>22.457999999999998</v>
      </c>
      <c r="N48" s="2">
        <v>13131</v>
      </c>
      <c r="O48" s="2">
        <v>15438</v>
      </c>
      <c r="P48" s="2">
        <f t="shared" si="1"/>
        <v>28569</v>
      </c>
      <c r="Q48" s="2" t="s">
        <v>58</v>
      </c>
      <c r="R48" s="2">
        <v>1</v>
      </c>
      <c r="S48" s="2">
        <v>0</v>
      </c>
      <c r="T48" s="2">
        <v>2</v>
      </c>
      <c r="U48" s="2">
        <v>0</v>
      </c>
      <c r="V48" s="2">
        <v>0</v>
      </c>
      <c r="W48" s="2">
        <v>4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4</v>
      </c>
      <c r="AF48" s="2">
        <v>4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3">
        <f>DATE(BE48, MATCH(TRIM(BD48), {"ENERO";"FEBRERO";"MARZO";"ABRIL";"MAYO";"JUNIO";"JULIO";"AGOSTO";"SEPTIEMBRE";"OCTUBRE";"NOVIEMBRE";"DICIEMBRE"}, 0), BC48)</f>
        <v>44508</v>
      </c>
      <c r="BC48" s="2">
        <v>8</v>
      </c>
      <c r="BD48" s="2" t="s">
        <v>20</v>
      </c>
      <c r="BE48" s="2">
        <v>2021</v>
      </c>
      <c r="BF48" s="2"/>
      <c r="BG48" s="2">
        <v>1</v>
      </c>
      <c r="BH48" s="2">
        <v>2</v>
      </c>
      <c r="BI48" s="2" t="s">
        <v>1</v>
      </c>
      <c r="BJ48" s="2" t="s">
        <v>0</v>
      </c>
      <c r="BK48" s="2"/>
      <c r="BL48" s="2"/>
    </row>
    <row r="49" spans="1:64" ht="18.75" x14ac:dyDescent="0.25">
      <c r="A49" s="2">
        <v>48</v>
      </c>
      <c r="B49" s="2" t="str">
        <f t="shared" si="0"/>
        <v>ADN-P-48</v>
      </c>
      <c r="C49" s="2" t="s">
        <v>19</v>
      </c>
      <c r="D49" s="2" t="s">
        <v>896</v>
      </c>
      <c r="E49" s="2" t="s">
        <v>895</v>
      </c>
      <c r="F49" s="2" t="s">
        <v>894</v>
      </c>
      <c r="G49" s="2" t="s">
        <v>893</v>
      </c>
      <c r="H49" s="2" t="s">
        <v>892</v>
      </c>
      <c r="I49" s="2" t="s">
        <v>891</v>
      </c>
      <c r="J49" s="2" t="s">
        <v>59</v>
      </c>
      <c r="K49" s="2">
        <v>15</v>
      </c>
      <c r="L49" s="2">
        <v>5.2</v>
      </c>
      <c r="M49" s="2">
        <v>10.4</v>
      </c>
      <c r="N49" s="2">
        <v>3190</v>
      </c>
      <c r="O49" s="2">
        <v>3858</v>
      </c>
      <c r="P49" s="2">
        <f t="shared" si="1"/>
        <v>7048</v>
      </c>
      <c r="Q49" s="2" t="s">
        <v>58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3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2</v>
      </c>
      <c r="AF49" s="2">
        <v>2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3">
        <f>DATE(BE49, MATCH(TRIM(BD49), {"ENERO";"FEBRERO";"MARZO";"ABRIL";"MAYO";"JUNIO";"JULIO";"AGOSTO";"SEPTIEMBRE";"OCTUBRE";"NOVIEMBRE";"DICIEMBRE"}, 0), BC49)</f>
        <v>44511</v>
      </c>
      <c r="BC49" s="2">
        <v>11</v>
      </c>
      <c r="BD49" s="2" t="s">
        <v>20</v>
      </c>
      <c r="BE49" s="2">
        <v>2021</v>
      </c>
      <c r="BF49" s="2"/>
      <c r="BG49" s="2">
        <v>1</v>
      </c>
      <c r="BH49" s="2">
        <v>2</v>
      </c>
      <c r="BI49" s="2" t="s">
        <v>1</v>
      </c>
      <c r="BJ49" s="2" t="s">
        <v>0</v>
      </c>
      <c r="BK49" s="2"/>
      <c r="BL49" s="2"/>
    </row>
    <row r="50" spans="1:64" ht="18.75" x14ac:dyDescent="0.25">
      <c r="A50" s="2">
        <v>49</v>
      </c>
      <c r="B50" s="2" t="str">
        <f t="shared" si="0"/>
        <v>ADN-P-49</v>
      </c>
      <c r="C50" s="2" t="s">
        <v>19</v>
      </c>
      <c r="D50" s="2" t="s">
        <v>25</v>
      </c>
      <c r="E50" s="2" t="s">
        <v>890</v>
      </c>
      <c r="F50" s="2" t="s">
        <v>888</v>
      </c>
      <c r="G50" s="2" t="s">
        <v>887</v>
      </c>
      <c r="H50" s="2" t="s">
        <v>886</v>
      </c>
      <c r="I50" s="2" t="s">
        <v>885</v>
      </c>
      <c r="J50" s="2" t="s">
        <v>884</v>
      </c>
      <c r="K50" s="2">
        <v>500</v>
      </c>
      <c r="L50" s="2">
        <v>29.48</v>
      </c>
      <c r="M50" s="2">
        <v>58.96</v>
      </c>
      <c r="N50" s="2">
        <v>3403</v>
      </c>
      <c r="O50" s="2">
        <v>4226</v>
      </c>
      <c r="P50" s="2">
        <f t="shared" si="1"/>
        <v>7629</v>
      </c>
      <c r="Q50" s="2" t="s">
        <v>192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2</v>
      </c>
      <c r="AC50" s="2">
        <v>0</v>
      </c>
      <c r="AD50" s="2">
        <v>0</v>
      </c>
      <c r="AE50" s="2">
        <v>15</v>
      </c>
      <c r="AF50" s="2">
        <v>15</v>
      </c>
      <c r="AG50" s="2">
        <v>0</v>
      </c>
      <c r="AH50" s="2">
        <v>0</v>
      </c>
      <c r="AI50" s="2">
        <v>0</v>
      </c>
      <c r="AJ50" s="2">
        <v>6</v>
      </c>
      <c r="AK50" s="2">
        <v>0</v>
      </c>
      <c r="AL50" s="2">
        <v>4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3">
        <f>DATE(BE50, MATCH(TRIM(BD50), {"ENERO";"FEBRERO";"MARZO";"ABRIL";"MAYO";"JUNIO";"JULIO";"AGOSTO";"SEPTIEMBRE";"OCTUBRE";"NOVIEMBRE";"DICIEMBRE"}, 0), BC50)</f>
        <v>44512</v>
      </c>
      <c r="BC50" s="2">
        <v>12</v>
      </c>
      <c r="BD50" s="2" t="s">
        <v>20</v>
      </c>
      <c r="BE50" s="2">
        <v>2021</v>
      </c>
      <c r="BF50" s="2"/>
      <c r="BG50" s="2">
        <v>1</v>
      </c>
      <c r="BH50" s="2">
        <v>1</v>
      </c>
      <c r="BI50" s="2" t="s">
        <v>1</v>
      </c>
      <c r="BJ50" s="2" t="s">
        <v>0</v>
      </c>
      <c r="BK50" s="2"/>
      <c r="BL50" s="2"/>
    </row>
    <row r="51" spans="1:64" ht="18.75" x14ac:dyDescent="0.25">
      <c r="A51" s="2">
        <v>50</v>
      </c>
      <c r="B51" s="2" t="str">
        <f t="shared" si="0"/>
        <v>ADN-P-50</v>
      </c>
      <c r="C51" s="2" t="s">
        <v>19</v>
      </c>
      <c r="D51" s="2" t="s">
        <v>25</v>
      </c>
      <c r="E51" s="2" t="s">
        <v>889</v>
      </c>
      <c r="F51" s="2" t="s">
        <v>888</v>
      </c>
      <c r="G51" s="2" t="s">
        <v>887</v>
      </c>
      <c r="H51" s="2" t="s">
        <v>886</v>
      </c>
      <c r="I51" s="2" t="s">
        <v>885</v>
      </c>
      <c r="J51" s="2" t="s">
        <v>884</v>
      </c>
      <c r="K51" s="2">
        <v>2392</v>
      </c>
      <c r="L51" s="2">
        <v>197.49</v>
      </c>
      <c r="M51" s="2">
        <v>394.98</v>
      </c>
      <c r="N51" s="2">
        <v>2335</v>
      </c>
      <c r="O51" s="2">
        <v>2687</v>
      </c>
      <c r="P51" s="2">
        <f t="shared" si="1"/>
        <v>5022</v>
      </c>
      <c r="Q51" s="2" t="s">
        <v>86</v>
      </c>
      <c r="R51" s="2">
        <v>1</v>
      </c>
      <c r="S51" s="2">
        <v>0</v>
      </c>
      <c r="T51" s="2">
        <v>2</v>
      </c>
      <c r="U51" s="2">
        <v>0</v>
      </c>
      <c r="V51" s="2">
        <v>0</v>
      </c>
      <c r="W51" s="2">
        <v>6</v>
      </c>
      <c r="X51" s="2">
        <v>18</v>
      </c>
      <c r="Y51" s="2">
        <v>0</v>
      </c>
      <c r="Z51" s="2">
        <v>5</v>
      </c>
      <c r="AA51" s="2">
        <v>11</v>
      </c>
      <c r="AB51" s="2">
        <v>0</v>
      </c>
      <c r="AC51" s="2">
        <v>0</v>
      </c>
      <c r="AD51" s="2">
        <v>0</v>
      </c>
      <c r="AE51" s="2">
        <v>38</v>
      </c>
      <c r="AF51" s="2">
        <v>38</v>
      </c>
      <c r="AG51" s="2">
        <v>0</v>
      </c>
      <c r="AH51" s="2">
        <v>0</v>
      </c>
      <c r="AI51" s="2">
        <v>2</v>
      </c>
      <c r="AJ51" s="2">
        <v>20</v>
      </c>
      <c r="AK51" s="2">
        <v>0</v>
      </c>
      <c r="AL51" s="2">
        <v>14</v>
      </c>
      <c r="AM51" s="2">
        <v>1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3">
        <f>DATE(BE51, MATCH(TRIM(BD51), {"ENERO";"FEBRERO";"MARZO";"ABRIL";"MAYO";"JUNIO";"JULIO";"AGOSTO";"SEPTIEMBRE";"OCTUBRE";"NOVIEMBRE";"DICIEMBRE"}, 0), BC51)</f>
        <v>44512</v>
      </c>
      <c r="BC51" s="2">
        <v>12</v>
      </c>
      <c r="BD51" s="2" t="s">
        <v>20</v>
      </c>
      <c r="BE51" s="2">
        <v>2021</v>
      </c>
      <c r="BF51" s="2"/>
      <c r="BG51" s="2">
        <v>1</v>
      </c>
      <c r="BH51" s="2">
        <v>1</v>
      </c>
      <c r="BI51" s="2" t="s">
        <v>143</v>
      </c>
      <c r="BJ51" s="2" t="s">
        <v>0</v>
      </c>
      <c r="BK51" s="2"/>
      <c r="BL51" s="2"/>
    </row>
    <row r="52" spans="1:64" ht="18.75" x14ac:dyDescent="0.25">
      <c r="A52" s="2">
        <v>51</v>
      </c>
      <c r="B52" s="2" t="str">
        <f t="shared" si="0"/>
        <v>ADN-P-51</v>
      </c>
      <c r="C52" s="2" t="s">
        <v>119</v>
      </c>
      <c r="D52" s="2" t="s">
        <v>118</v>
      </c>
      <c r="E52" s="2" t="s">
        <v>883</v>
      </c>
      <c r="F52" s="2" t="s">
        <v>882</v>
      </c>
      <c r="G52" s="2" t="s">
        <v>881</v>
      </c>
      <c r="H52" s="2" t="s">
        <v>880</v>
      </c>
      <c r="I52" s="2" t="s">
        <v>879</v>
      </c>
      <c r="J52" s="2" t="s">
        <v>878</v>
      </c>
      <c r="K52" s="2">
        <v>1656.37</v>
      </c>
      <c r="L52" s="2">
        <v>220.94</v>
      </c>
      <c r="M52" s="2">
        <v>441.88</v>
      </c>
      <c r="N52" s="2">
        <v>6490</v>
      </c>
      <c r="O52" s="2">
        <v>8175</v>
      </c>
      <c r="P52" s="2">
        <f t="shared" si="1"/>
        <v>14665</v>
      </c>
      <c r="Q52" s="2" t="s">
        <v>86</v>
      </c>
      <c r="R52" s="2">
        <v>3</v>
      </c>
      <c r="S52" s="2">
        <v>0</v>
      </c>
      <c r="T52" s="2">
        <v>4</v>
      </c>
      <c r="U52" s="2">
        <v>1</v>
      </c>
      <c r="V52" s="2">
        <v>0</v>
      </c>
      <c r="W52" s="2">
        <v>32</v>
      </c>
      <c r="X52" s="2">
        <v>53</v>
      </c>
      <c r="Y52" s="2">
        <v>0</v>
      </c>
      <c r="Z52" s="2">
        <v>12</v>
      </c>
      <c r="AA52" s="2">
        <v>11</v>
      </c>
      <c r="AB52" s="2">
        <v>0</v>
      </c>
      <c r="AC52" s="2">
        <v>0</v>
      </c>
      <c r="AD52" s="2">
        <v>0</v>
      </c>
      <c r="AE52" s="2">
        <v>33</v>
      </c>
      <c r="AF52" s="2">
        <v>33</v>
      </c>
      <c r="AG52" s="2">
        <v>0</v>
      </c>
      <c r="AH52" s="2">
        <v>0</v>
      </c>
      <c r="AI52" s="2">
        <v>0</v>
      </c>
      <c r="AJ52" s="2">
        <v>1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3">
        <f>DATE(BE52, MATCH(TRIM(BD52), {"ENERO";"FEBRERO";"MARZO";"ABRIL";"MAYO";"JUNIO";"JULIO";"AGOSTO";"SEPTIEMBRE";"OCTUBRE";"NOVIEMBRE";"DICIEMBRE"}, 0), BC52)</f>
        <v>44512</v>
      </c>
      <c r="BC52" s="2">
        <v>12</v>
      </c>
      <c r="BD52" s="2" t="s">
        <v>20</v>
      </c>
      <c r="BE52" s="2">
        <v>2021</v>
      </c>
      <c r="BF52" s="2"/>
      <c r="BG52" s="2">
        <v>3</v>
      </c>
      <c r="BH52" s="2">
        <v>1</v>
      </c>
      <c r="BI52" s="2" t="s">
        <v>143</v>
      </c>
      <c r="BJ52" s="2" t="s">
        <v>0</v>
      </c>
      <c r="BK52" s="2"/>
      <c r="BL52" s="2"/>
    </row>
    <row r="53" spans="1:64" ht="18.75" x14ac:dyDescent="0.25">
      <c r="A53" s="2">
        <v>52</v>
      </c>
      <c r="B53" s="2" t="str">
        <f t="shared" si="0"/>
        <v>ADN-P-52</v>
      </c>
      <c r="C53" s="2" t="s">
        <v>19</v>
      </c>
      <c r="D53" s="2" t="s">
        <v>25</v>
      </c>
      <c r="E53" s="2" t="s">
        <v>877</v>
      </c>
      <c r="F53" s="2" t="s">
        <v>198</v>
      </c>
      <c r="G53" s="2" t="s">
        <v>876</v>
      </c>
      <c r="H53" s="2" t="s">
        <v>875</v>
      </c>
      <c r="I53" s="2" t="s">
        <v>874</v>
      </c>
      <c r="J53" s="2" t="s">
        <v>198</v>
      </c>
      <c r="K53" s="2">
        <v>300</v>
      </c>
      <c r="L53" s="2">
        <v>0</v>
      </c>
      <c r="M53" s="2">
        <v>0</v>
      </c>
      <c r="N53" s="2">
        <v>2335</v>
      </c>
      <c r="O53" s="2">
        <v>2687</v>
      </c>
      <c r="P53" s="2">
        <f t="shared" si="1"/>
        <v>5022</v>
      </c>
      <c r="Q53" s="2" t="s">
        <v>86</v>
      </c>
      <c r="R53" s="2">
        <v>1</v>
      </c>
      <c r="S53" s="2">
        <v>1</v>
      </c>
      <c r="T53" s="2">
        <v>0</v>
      </c>
      <c r="U53" s="2">
        <v>0</v>
      </c>
      <c r="V53" s="2">
        <v>0</v>
      </c>
      <c r="W53" s="2">
        <v>4</v>
      </c>
      <c r="X53" s="2">
        <v>0</v>
      </c>
      <c r="Y53" s="2">
        <v>0</v>
      </c>
      <c r="Z53" s="2">
        <v>3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4</v>
      </c>
      <c r="AK53" s="2">
        <v>1</v>
      </c>
      <c r="AL53" s="2">
        <v>6</v>
      </c>
      <c r="AM53" s="2">
        <v>0</v>
      </c>
      <c r="AN53" s="2">
        <v>0</v>
      </c>
      <c r="AO53" s="2">
        <v>0</v>
      </c>
      <c r="AP53" s="2">
        <v>1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3">
        <f>DATE(BE53, MATCH(TRIM(BD53), {"ENERO";"FEBRERO";"MARZO";"ABRIL";"MAYO";"JUNIO";"JULIO";"AGOSTO";"SEPTIEMBRE";"OCTUBRE";"NOVIEMBRE";"DICIEMBRE"}, 0), BC53)</f>
        <v>44518</v>
      </c>
      <c r="BC53" s="2">
        <v>18</v>
      </c>
      <c r="BD53" s="2" t="s">
        <v>20</v>
      </c>
      <c r="BE53" s="2">
        <v>2021</v>
      </c>
      <c r="BF53" s="2"/>
      <c r="BG53" s="2">
        <v>1</v>
      </c>
      <c r="BH53" s="2">
        <v>1</v>
      </c>
      <c r="BI53" s="2" t="s">
        <v>1</v>
      </c>
      <c r="BJ53" s="2" t="s">
        <v>0</v>
      </c>
      <c r="BK53" s="2"/>
      <c r="BL53" s="2"/>
    </row>
    <row r="54" spans="1:64" ht="18.75" x14ac:dyDescent="0.25">
      <c r="A54" s="2">
        <v>53</v>
      </c>
      <c r="B54" s="2" t="str">
        <f t="shared" si="0"/>
        <v>ADN-P-53</v>
      </c>
      <c r="C54" s="2" t="s">
        <v>19</v>
      </c>
      <c r="D54" s="2" t="s">
        <v>25</v>
      </c>
      <c r="E54" s="2" t="s">
        <v>873</v>
      </c>
      <c r="F54" s="2" t="s">
        <v>872</v>
      </c>
      <c r="G54" s="2" t="s">
        <v>871</v>
      </c>
      <c r="H54" s="2" t="s">
        <v>870</v>
      </c>
      <c r="I54" s="2" t="s">
        <v>869</v>
      </c>
      <c r="J54" s="2" t="s">
        <v>198</v>
      </c>
      <c r="K54" s="2">
        <v>1328228.3700000001</v>
      </c>
      <c r="L54" s="2">
        <v>23540</v>
      </c>
      <c r="M54" s="2">
        <v>47080</v>
      </c>
      <c r="N54" s="2">
        <v>2335</v>
      </c>
      <c r="O54" s="2">
        <v>2687</v>
      </c>
      <c r="P54" s="2">
        <f t="shared" si="1"/>
        <v>5022</v>
      </c>
      <c r="Q54" s="2" t="s">
        <v>86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3">
        <f>DATE(BE54, MATCH(TRIM(BD54), {"ENERO";"FEBRERO";"MARZO";"ABRIL";"MAYO";"JUNIO";"JULIO";"AGOSTO";"SEPTIEMBRE";"OCTUBRE";"NOVIEMBRE";"DICIEMBRE"}, 0), BC54)</f>
        <v>44537</v>
      </c>
      <c r="BC54" s="2">
        <v>7</v>
      </c>
      <c r="BD54" s="2" t="s">
        <v>2</v>
      </c>
      <c r="BE54" s="2">
        <v>2021</v>
      </c>
      <c r="BF54" s="2" t="s">
        <v>834</v>
      </c>
      <c r="BG54" s="2">
        <v>1</v>
      </c>
      <c r="BH54" s="2">
        <v>1</v>
      </c>
      <c r="BI54" s="2" t="s">
        <v>143</v>
      </c>
      <c r="BJ54" s="2" t="s">
        <v>0</v>
      </c>
      <c r="BK54" s="2"/>
      <c r="BL54" s="2"/>
    </row>
    <row r="55" spans="1:64" ht="18.75" x14ac:dyDescent="0.25">
      <c r="A55" s="2">
        <v>54</v>
      </c>
      <c r="B55" s="2" t="str">
        <f t="shared" si="0"/>
        <v>ADN-P-54</v>
      </c>
      <c r="C55" s="2" t="s">
        <v>19</v>
      </c>
      <c r="D55" s="2" t="s">
        <v>25</v>
      </c>
      <c r="E55" s="2" t="s">
        <v>868</v>
      </c>
      <c r="F55" s="2" t="s">
        <v>867</v>
      </c>
      <c r="G55" s="2" t="s">
        <v>866</v>
      </c>
      <c r="H55" s="2" t="s">
        <v>865</v>
      </c>
      <c r="I55" s="2" t="s">
        <v>864</v>
      </c>
      <c r="J55" s="2" t="s">
        <v>863</v>
      </c>
      <c r="K55" s="2">
        <v>502</v>
      </c>
      <c r="L55" s="2">
        <v>37.11</v>
      </c>
      <c r="M55" s="2">
        <v>74.22</v>
      </c>
      <c r="N55" s="2">
        <v>3488</v>
      </c>
      <c r="O55" s="2">
        <v>4531</v>
      </c>
      <c r="P55" s="2">
        <f t="shared" si="1"/>
        <v>8019</v>
      </c>
      <c r="Q55" s="2" t="s">
        <v>86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30</v>
      </c>
      <c r="AF55" s="2">
        <v>30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3">
        <f>DATE(BE55, MATCH(TRIM(BD55), {"ENERO";"FEBRERO";"MARZO";"ABRIL";"MAYO";"JUNIO";"JULIO";"AGOSTO";"SEPTIEMBRE";"OCTUBRE";"NOVIEMBRE";"DICIEMBRE"}, 0), BC55)</f>
        <v>44557</v>
      </c>
      <c r="BC55" s="2">
        <v>27</v>
      </c>
      <c r="BD55" s="2" t="s">
        <v>2</v>
      </c>
      <c r="BE55" s="2">
        <v>2021</v>
      </c>
      <c r="BF55" s="2"/>
      <c r="BG55" s="2">
        <v>1</v>
      </c>
      <c r="BH55" s="2">
        <v>1</v>
      </c>
      <c r="BI55" s="2" t="s">
        <v>143</v>
      </c>
      <c r="BJ55" s="2" t="s">
        <v>0</v>
      </c>
      <c r="BK55" s="2"/>
      <c r="BL55" s="2"/>
    </row>
    <row r="56" spans="1:64" ht="18.75" x14ac:dyDescent="0.25">
      <c r="A56" s="2">
        <v>55</v>
      </c>
      <c r="B56" s="2" t="str">
        <f t="shared" si="0"/>
        <v>ADN-P-55</v>
      </c>
      <c r="C56" s="2" t="s">
        <v>119</v>
      </c>
      <c r="D56" s="6" t="s">
        <v>586</v>
      </c>
      <c r="E56" s="2" t="s">
        <v>862</v>
      </c>
      <c r="F56" s="2" t="s">
        <v>861</v>
      </c>
      <c r="G56" s="2" t="s">
        <v>860</v>
      </c>
      <c r="H56" s="2" t="s">
        <v>859</v>
      </c>
      <c r="I56" s="2" t="s">
        <v>858</v>
      </c>
      <c r="J56" s="2" t="s">
        <v>580</v>
      </c>
      <c r="K56" s="2">
        <v>1024.58</v>
      </c>
      <c r="L56" s="2">
        <v>144.32</v>
      </c>
      <c r="M56" s="2">
        <v>288.64</v>
      </c>
      <c r="N56" s="2">
        <v>22272</v>
      </c>
      <c r="O56" s="2">
        <v>21821</v>
      </c>
      <c r="P56" s="2">
        <f t="shared" si="1"/>
        <v>44093</v>
      </c>
      <c r="Q56" s="2" t="s">
        <v>86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3">
        <f>DATE(BE56, MATCH(TRIM(BD56), {"ENERO";"FEBRERO";"MARZO";"ABRIL";"MAYO";"JUNIO";"JULIO";"AGOSTO";"SEPTIEMBRE";"OCTUBRE";"NOVIEMBRE";"DICIEMBRE"}, 0), BC56)</f>
        <v>44542</v>
      </c>
      <c r="BC56" s="2">
        <v>12</v>
      </c>
      <c r="BD56" s="2" t="s">
        <v>2</v>
      </c>
      <c r="BE56" s="2">
        <v>2021</v>
      </c>
      <c r="BF56" s="2"/>
      <c r="BG56" s="2">
        <v>3</v>
      </c>
      <c r="BH56" s="2">
        <v>1</v>
      </c>
      <c r="BI56" s="2" t="s">
        <v>143</v>
      </c>
      <c r="BJ56" s="2" t="s">
        <v>0</v>
      </c>
      <c r="BK56" s="2"/>
      <c r="BL56" s="2"/>
    </row>
    <row r="57" spans="1:64" ht="18.75" x14ac:dyDescent="0.25">
      <c r="A57" s="2">
        <v>56</v>
      </c>
      <c r="B57" s="2" t="str">
        <f t="shared" si="0"/>
        <v>ADN-P-56</v>
      </c>
      <c r="C57" s="2" t="s">
        <v>9</v>
      </c>
      <c r="D57" s="2" t="s">
        <v>857</v>
      </c>
      <c r="E57" s="2" t="s">
        <v>856</v>
      </c>
      <c r="F57" s="2" t="s">
        <v>855</v>
      </c>
      <c r="G57" s="2" t="s">
        <v>854</v>
      </c>
      <c r="H57" s="2" t="s">
        <v>853</v>
      </c>
      <c r="I57" s="2" t="s">
        <v>852</v>
      </c>
      <c r="J57" s="2" t="s">
        <v>204</v>
      </c>
      <c r="K57" s="2">
        <v>1990.96</v>
      </c>
      <c r="L57" s="2">
        <v>188.73</v>
      </c>
      <c r="M57" s="2">
        <v>377.46</v>
      </c>
      <c r="N57" s="2">
        <v>24591</v>
      </c>
      <c r="O57" s="2">
        <v>26673</v>
      </c>
      <c r="P57" s="2">
        <f t="shared" si="1"/>
        <v>51264</v>
      </c>
      <c r="Q57" s="2" t="s">
        <v>86</v>
      </c>
      <c r="R57" s="2">
        <v>1</v>
      </c>
      <c r="S57" s="2">
        <v>0</v>
      </c>
      <c r="T57" s="2">
        <v>3</v>
      </c>
      <c r="U57" s="2">
        <v>1</v>
      </c>
      <c r="V57" s="2">
        <v>0</v>
      </c>
      <c r="W57" s="2">
        <v>24</v>
      </c>
      <c r="X57" s="2">
        <v>6</v>
      </c>
      <c r="Y57" s="2">
        <v>0</v>
      </c>
      <c r="Z57" s="2">
        <v>4</v>
      </c>
      <c r="AA57" s="2">
        <v>5</v>
      </c>
      <c r="AB57" s="2">
        <v>0</v>
      </c>
      <c r="AC57" s="2">
        <v>0</v>
      </c>
      <c r="AD57" s="2">
        <v>0</v>
      </c>
      <c r="AE57" s="2">
        <v>36</v>
      </c>
      <c r="AF57" s="2">
        <v>36</v>
      </c>
      <c r="AG57" s="2">
        <v>257.19</v>
      </c>
      <c r="AH57" s="2">
        <v>0</v>
      </c>
      <c r="AI57" s="2">
        <v>0</v>
      </c>
      <c r="AJ57" s="2">
        <v>0</v>
      </c>
      <c r="AK57" s="2">
        <v>0</v>
      </c>
      <c r="AL57" s="2">
        <v>1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3">
        <f>DATE(BE57, MATCH(TRIM(BD57), {"ENERO";"FEBRERO";"MARZO";"ABRIL";"MAYO";"JUNIO";"JULIO";"AGOSTO";"SEPTIEMBRE";"OCTUBRE";"NOVIEMBRE";"DICIEMBRE"}, 0), BC57)</f>
        <v>44544</v>
      </c>
      <c r="BC57" s="2">
        <v>14</v>
      </c>
      <c r="BD57" s="2" t="s">
        <v>2</v>
      </c>
      <c r="BE57" s="2">
        <v>2021</v>
      </c>
      <c r="BF57" s="2"/>
      <c r="BG57" s="2">
        <v>2</v>
      </c>
      <c r="BH57" s="2">
        <v>1</v>
      </c>
      <c r="BI57" s="2" t="s">
        <v>143</v>
      </c>
      <c r="BJ57" s="2" t="s">
        <v>0</v>
      </c>
      <c r="BK57" s="2"/>
      <c r="BL57" s="2"/>
    </row>
    <row r="58" spans="1:64" ht="18.75" x14ac:dyDescent="0.25">
      <c r="A58" s="2">
        <v>57</v>
      </c>
      <c r="B58" s="2" t="str">
        <f t="shared" si="0"/>
        <v>ADN-P-57</v>
      </c>
      <c r="C58" s="2" t="s">
        <v>119</v>
      </c>
      <c r="D58" s="2" t="s">
        <v>586</v>
      </c>
      <c r="E58" s="2" t="s">
        <v>851</v>
      </c>
      <c r="F58" s="2" t="s">
        <v>850</v>
      </c>
      <c r="G58" s="2" t="s">
        <v>849</v>
      </c>
      <c r="H58" s="2" t="s">
        <v>848</v>
      </c>
      <c r="I58" s="2" t="s">
        <v>847</v>
      </c>
      <c r="J58" s="2" t="s">
        <v>846</v>
      </c>
      <c r="K58" s="2">
        <v>200</v>
      </c>
      <c r="L58" s="2">
        <v>32.19</v>
      </c>
      <c r="M58" s="2">
        <v>64.38</v>
      </c>
      <c r="N58" s="2">
        <v>19077</v>
      </c>
      <c r="O58" s="2">
        <v>20273</v>
      </c>
      <c r="P58" s="2">
        <f t="shared" si="1"/>
        <v>39350</v>
      </c>
      <c r="Q58" s="2" t="s">
        <v>86</v>
      </c>
      <c r="R58" s="2">
        <v>1</v>
      </c>
      <c r="S58" s="2">
        <v>0</v>
      </c>
      <c r="T58" s="2">
        <v>1</v>
      </c>
      <c r="U58" s="2">
        <v>2</v>
      </c>
      <c r="V58" s="2">
        <v>0</v>
      </c>
      <c r="W58" s="2">
        <v>16</v>
      </c>
      <c r="X58" s="2">
        <v>7</v>
      </c>
      <c r="Y58" s="2">
        <v>0</v>
      </c>
      <c r="Z58" s="2">
        <v>2</v>
      </c>
      <c r="AA58" s="2">
        <v>6</v>
      </c>
      <c r="AB58" s="2">
        <v>0</v>
      </c>
      <c r="AC58" s="2">
        <v>0</v>
      </c>
      <c r="AD58" s="2">
        <v>1</v>
      </c>
      <c r="AE58" s="2">
        <v>13</v>
      </c>
      <c r="AF58" s="2">
        <v>13</v>
      </c>
      <c r="AG58" s="2">
        <v>200</v>
      </c>
      <c r="AH58" s="2">
        <v>0</v>
      </c>
      <c r="AI58" s="2">
        <v>4</v>
      </c>
      <c r="AJ58" s="2">
        <v>0</v>
      </c>
      <c r="AK58" s="2">
        <v>0</v>
      </c>
      <c r="AL58" s="2">
        <v>1</v>
      </c>
      <c r="AM58" s="2">
        <v>1</v>
      </c>
      <c r="AN58" s="2">
        <v>0</v>
      </c>
      <c r="AO58" s="2">
        <v>1</v>
      </c>
      <c r="AP58" s="2">
        <v>0</v>
      </c>
      <c r="AQ58" s="2">
        <v>2</v>
      </c>
      <c r="AR58" s="2">
        <v>0</v>
      </c>
      <c r="AS58" s="2">
        <v>1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3">
        <f>DATE(BE58, MATCH(TRIM(BD58), {"ENERO";"FEBRERO";"MARZO";"ABRIL";"MAYO";"JUNIO";"JULIO";"AGOSTO";"SEPTIEMBRE";"OCTUBRE";"NOVIEMBRE";"DICIEMBRE"}, 0), BC58)</f>
        <v>44548</v>
      </c>
      <c r="BC58" s="2">
        <v>18</v>
      </c>
      <c r="BD58" s="2" t="s">
        <v>2</v>
      </c>
      <c r="BE58" s="2">
        <v>2021</v>
      </c>
      <c r="BF58" s="2"/>
      <c r="BG58" s="2">
        <v>3</v>
      </c>
      <c r="BH58" s="2">
        <v>1</v>
      </c>
      <c r="BI58" s="2" t="s">
        <v>1</v>
      </c>
      <c r="BJ58" s="2" t="s">
        <v>0</v>
      </c>
      <c r="BK58" s="2"/>
      <c r="BL58" s="2"/>
    </row>
    <row r="59" spans="1:64" ht="18.75" x14ac:dyDescent="0.25">
      <c r="A59" s="2">
        <v>58</v>
      </c>
      <c r="B59" s="2" t="str">
        <f t="shared" si="0"/>
        <v>ADN-P-58</v>
      </c>
      <c r="C59" s="2" t="s">
        <v>19</v>
      </c>
      <c r="D59" s="2" t="s">
        <v>137</v>
      </c>
      <c r="E59" s="2" t="s">
        <v>845</v>
      </c>
      <c r="F59" s="2" t="s">
        <v>844</v>
      </c>
      <c r="G59" s="2" t="s">
        <v>843</v>
      </c>
      <c r="H59" s="2" t="s">
        <v>842</v>
      </c>
      <c r="I59" s="2" t="s">
        <v>841</v>
      </c>
      <c r="J59" s="2" t="s">
        <v>840</v>
      </c>
      <c r="K59" s="2">
        <v>1875.28</v>
      </c>
      <c r="L59" s="2">
        <v>130.19</v>
      </c>
      <c r="M59" s="2">
        <v>260.38</v>
      </c>
      <c r="N59" s="2">
        <v>2489</v>
      </c>
      <c r="O59" s="2">
        <v>3046</v>
      </c>
      <c r="P59" s="2">
        <f t="shared" si="1"/>
        <v>5535</v>
      </c>
      <c r="Q59" s="2" t="s">
        <v>86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18</v>
      </c>
      <c r="AF59" s="2">
        <v>18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3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3">
        <f>DATE(BE59, MATCH(TRIM(BD59), {"ENERO";"FEBRERO";"MARZO";"ABRIL";"MAYO";"JUNIO";"JULIO";"AGOSTO";"SEPTIEMBRE";"OCTUBRE";"NOVIEMBRE";"DICIEMBRE"}, 0), BC59)</f>
        <v>44587</v>
      </c>
      <c r="BC59" s="2">
        <v>26</v>
      </c>
      <c r="BD59" s="2" t="s">
        <v>144</v>
      </c>
      <c r="BE59" s="2">
        <v>2022</v>
      </c>
      <c r="BF59" s="2"/>
      <c r="BG59" s="2">
        <v>1</v>
      </c>
      <c r="BH59" s="2">
        <v>1</v>
      </c>
      <c r="BI59" s="2" t="s">
        <v>143</v>
      </c>
      <c r="BJ59" s="2" t="s">
        <v>0</v>
      </c>
      <c r="BK59" s="2"/>
      <c r="BL59" s="2"/>
    </row>
    <row r="60" spans="1:64" ht="18.75" x14ac:dyDescent="0.25">
      <c r="A60" s="2">
        <v>59</v>
      </c>
      <c r="B60" s="2" t="str">
        <f t="shared" si="0"/>
        <v>ADN-P-59</v>
      </c>
      <c r="C60" s="2" t="s">
        <v>19</v>
      </c>
      <c r="D60" s="2" t="s">
        <v>47</v>
      </c>
      <c r="E60" s="2" t="s">
        <v>839</v>
      </c>
      <c r="F60" s="2" t="s">
        <v>838</v>
      </c>
      <c r="G60" s="2" t="s">
        <v>837</v>
      </c>
      <c r="H60" s="2" t="s">
        <v>836</v>
      </c>
      <c r="I60" s="2" t="s">
        <v>835</v>
      </c>
      <c r="J60" s="2" t="s">
        <v>337</v>
      </c>
      <c r="K60" s="2">
        <v>25</v>
      </c>
      <c r="L60" s="2">
        <v>5</v>
      </c>
      <c r="M60" s="2">
        <v>10</v>
      </c>
      <c r="N60" s="2">
        <v>2347</v>
      </c>
      <c r="O60" s="2">
        <v>2904</v>
      </c>
      <c r="P60" s="2">
        <f t="shared" si="1"/>
        <v>5251</v>
      </c>
      <c r="Q60" s="2" t="s">
        <v>58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2</v>
      </c>
      <c r="X60" s="2">
        <v>0</v>
      </c>
      <c r="Y60" s="2">
        <v>0</v>
      </c>
      <c r="Z60" s="2">
        <v>0</v>
      </c>
      <c r="AA60" s="2">
        <v>0</v>
      </c>
      <c r="AB60" s="2">
        <v>4</v>
      </c>
      <c r="AC60" s="2">
        <v>0</v>
      </c>
      <c r="AD60" s="2">
        <v>0</v>
      </c>
      <c r="AE60" s="2">
        <v>18</v>
      </c>
      <c r="AF60" s="2">
        <v>18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3">
        <f>DATE(BE60, MATCH(TRIM(BD60), {"ENERO";"FEBRERO";"MARZO";"ABRIL";"MAYO";"JUNIO";"JULIO";"AGOSTO";"SEPTIEMBRE";"OCTUBRE";"NOVIEMBRE";"DICIEMBRE"}, 0), BC60)</f>
        <v>44611</v>
      </c>
      <c r="BC60" s="2">
        <v>19</v>
      </c>
      <c r="BD60" s="2" t="s">
        <v>484</v>
      </c>
      <c r="BE60" s="2">
        <v>2022</v>
      </c>
      <c r="BF60" s="2"/>
      <c r="BG60" s="2">
        <v>1</v>
      </c>
      <c r="BH60" s="2">
        <v>2</v>
      </c>
      <c r="BI60" s="2" t="s">
        <v>1</v>
      </c>
      <c r="BJ60" s="2" t="s">
        <v>0</v>
      </c>
      <c r="BK60" s="2"/>
      <c r="BL60" s="2"/>
    </row>
    <row r="61" spans="1:64" ht="18.75" x14ac:dyDescent="0.25">
      <c r="A61" s="2">
        <v>60</v>
      </c>
      <c r="B61" s="2" t="str">
        <f t="shared" si="0"/>
        <v>ADN-P-60</v>
      </c>
      <c r="C61" s="2" t="s">
        <v>19</v>
      </c>
      <c r="D61" s="2" t="s">
        <v>47</v>
      </c>
      <c r="E61" s="2" t="s">
        <v>56</v>
      </c>
      <c r="F61" s="2" t="s">
        <v>55</v>
      </c>
      <c r="G61" s="2" t="s">
        <v>54</v>
      </c>
      <c r="H61" s="2" t="s">
        <v>53</v>
      </c>
      <c r="I61" s="2" t="s">
        <v>52</v>
      </c>
      <c r="J61" s="2" t="s">
        <v>51</v>
      </c>
      <c r="K61" s="2">
        <v>860</v>
      </c>
      <c r="L61" s="2">
        <v>91.92</v>
      </c>
      <c r="M61" s="2">
        <v>183.84</v>
      </c>
      <c r="N61" s="2">
        <v>3180</v>
      </c>
      <c r="O61" s="2">
        <v>3432</v>
      </c>
      <c r="P61" s="2">
        <f t="shared" si="1"/>
        <v>6612</v>
      </c>
      <c r="Q61" s="2" t="s">
        <v>86</v>
      </c>
      <c r="R61" s="2">
        <v>2</v>
      </c>
      <c r="S61" s="2">
        <v>5</v>
      </c>
      <c r="T61" s="2">
        <v>1</v>
      </c>
      <c r="U61" s="2">
        <v>1</v>
      </c>
      <c r="V61" s="2">
        <v>0</v>
      </c>
      <c r="W61" s="2">
        <v>26</v>
      </c>
      <c r="X61" s="2">
        <v>13</v>
      </c>
      <c r="Y61" s="2">
        <v>3</v>
      </c>
      <c r="Z61" s="2">
        <v>9</v>
      </c>
      <c r="AA61" s="2">
        <v>9</v>
      </c>
      <c r="AB61" s="2">
        <v>0</v>
      </c>
      <c r="AC61" s="2">
        <v>2</v>
      </c>
      <c r="AD61" s="2">
        <v>1</v>
      </c>
      <c r="AE61" s="2">
        <v>42</v>
      </c>
      <c r="AF61" s="2">
        <v>42</v>
      </c>
      <c r="AG61" s="2">
        <v>294</v>
      </c>
      <c r="AH61" s="2">
        <v>0</v>
      </c>
      <c r="AI61" s="2">
        <v>4</v>
      </c>
      <c r="AJ61" s="2">
        <v>0</v>
      </c>
      <c r="AK61" s="2">
        <v>0</v>
      </c>
      <c r="AL61" s="2">
        <v>8</v>
      </c>
      <c r="AM61" s="2">
        <v>0</v>
      </c>
      <c r="AN61" s="2">
        <v>0</v>
      </c>
      <c r="AO61" s="2">
        <v>0</v>
      </c>
      <c r="AP61" s="2">
        <v>1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3">
        <f>DATE(BE61, MATCH(TRIM(BD61), {"ENERO";"FEBRERO";"MARZO";"ABRIL";"MAYO";"JUNIO";"JULIO";"AGOSTO";"SEPTIEMBRE";"OCTUBRE";"NOVIEMBRE";"DICIEMBRE"}, 0), BC61)</f>
        <v>44601</v>
      </c>
      <c r="BC61" s="2">
        <v>9</v>
      </c>
      <c r="BD61" s="2" t="s">
        <v>484</v>
      </c>
      <c r="BE61" s="2">
        <v>2022</v>
      </c>
      <c r="BF61" s="2" t="s">
        <v>834</v>
      </c>
      <c r="BG61" s="2">
        <v>1</v>
      </c>
      <c r="BH61" s="2">
        <v>1</v>
      </c>
      <c r="BI61" s="2" t="s">
        <v>143</v>
      </c>
      <c r="BJ61" s="2" t="s">
        <v>0</v>
      </c>
      <c r="BK61" s="2"/>
      <c r="BL61" s="2"/>
    </row>
    <row r="62" spans="1:64" ht="18.75" x14ac:dyDescent="0.25">
      <c r="A62" s="2">
        <v>61</v>
      </c>
      <c r="B62" s="2" t="str">
        <f t="shared" si="0"/>
        <v>ADN-P-61</v>
      </c>
      <c r="C62" s="2" t="s">
        <v>9</v>
      </c>
      <c r="D62" s="2" t="s">
        <v>41</v>
      </c>
      <c r="E62" s="2" t="s">
        <v>833</v>
      </c>
      <c r="F62" s="2" t="s">
        <v>832</v>
      </c>
      <c r="G62" s="2" t="s">
        <v>831</v>
      </c>
      <c r="H62" s="2" t="s">
        <v>830</v>
      </c>
      <c r="I62" s="2" t="s">
        <v>829</v>
      </c>
      <c r="J62" s="2" t="s">
        <v>823</v>
      </c>
      <c r="K62" s="2">
        <v>1787</v>
      </c>
      <c r="L62" s="2">
        <v>78.39</v>
      </c>
      <c r="M62" s="2">
        <v>156.78</v>
      </c>
      <c r="N62" s="2">
        <v>20277</v>
      </c>
      <c r="O62" s="2">
        <v>23099</v>
      </c>
      <c r="P62" s="2">
        <f t="shared" si="1"/>
        <v>43376</v>
      </c>
      <c r="Q62" s="2" t="s">
        <v>86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6</v>
      </c>
      <c r="X62" s="2">
        <v>14</v>
      </c>
      <c r="Y62" s="2">
        <v>0</v>
      </c>
      <c r="Z62" s="2">
        <v>7</v>
      </c>
      <c r="AA62" s="2">
        <v>3</v>
      </c>
      <c r="AB62" s="2">
        <v>0</v>
      </c>
      <c r="AC62" s="2">
        <v>0</v>
      </c>
      <c r="AD62" s="2">
        <v>0</v>
      </c>
      <c r="AE62" s="2">
        <v>26</v>
      </c>
      <c r="AF62" s="2">
        <v>26</v>
      </c>
      <c r="AG62" s="2">
        <v>0</v>
      </c>
      <c r="AH62" s="2">
        <v>0</v>
      </c>
      <c r="AI62" s="2">
        <v>0</v>
      </c>
      <c r="AJ62" s="2">
        <v>1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3">
        <f>DATE(BE62, MATCH(TRIM(BD62), {"ENERO";"FEBRERO";"MARZO";"ABRIL";"MAYO";"JUNIO";"JULIO";"AGOSTO";"SEPTIEMBRE";"OCTUBRE";"NOVIEMBRE";"DICIEMBRE"}, 0), BC62)</f>
        <v>44612</v>
      </c>
      <c r="BC62" s="2">
        <v>20</v>
      </c>
      <c r="BD62" s="2" t="s">
        <v>484</v>
      </c>
      <c r="BE62" s="2">
        <v>2022</v>
      </c>
      <c r="BF62" s="2"/>
      <c r="BG62" s="2">
        <v>2</v>
      </c>
      <c r="BH62" s="2">
        <v>1</v>
      </c>
      <c r="BI62" s="2" t="s">
        <v>143</v>
      </c>
      <c r="BJ62" s="2" t="s">
        <v>0</v>
      </c>
      <c r="BK62" s="2"/>
      <c r="BL62" s="2"/>
    </row>
    <row r="63" spans="1:64" ht="18.75" x14ac:dyDescent="0.25">
      <c r="A63" s="2">
        <v>62</v>
      </c>
      <c r="B63" s="2" t="str">
        <f t="shared" si="0"/>
        <v>ADN-P-62</v>
      </c>
      <c r="C63" s="2" t="s">
        <v>9</v>
      </c>
      <c r="D63" s="2" t="s">
        <v>41</v>
      </c>
      <c r="E63" s="2" t="s">
        <v>828</v>
      </c>
      <c r="F63" s="2" t="s">
        <v>827</v>
      </c>
      <c r="G63" s="2" t="s">
        <v>826</v>
      </c>
      <c r="H63" s="2" t="s">
        <v>825</v>
      </c>
      <c r="I63" s="2" t="s">
        <v>824</v>
      </c>
      <c r="J63" s="2" t="s">
        <v>823</v>
      </c>
      <c r="K63" s="2">
        <v>310</v>
      </c>
      <c r="L63" s="2">
        <v>63.26</v>
      </c>
      <c r="M63" s="2">
        <v>126.52</v>
      </c>
      <c r="N63" s="2">
        <v>20277</v>
      </c>
      <c r="O63" s="2">
        <v>23099</v>
      </c>
      <c r="P63" s="2">
        <f t="shared" si="1"/>
        <v>43376</v>
      </c>
      <c r="Q63" s="2" t="s">
        <v>86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3</v>
      </c>
      <c r="AF63" s="2">
        <v>3</v>
      </c>
      <c r="AG63" s="2">
        <v>0</v>
      </c>
      <c r="AH63" s="2">
        <v>0</v>
      </c>
      <c r="AI63" s="2">
        <v>2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3">
        <f>DATE(BE63, MATCH(TRIM(BD63), {"ENERO";"FEBRERO";"MARZO";"ABRIL";"MAYO";"JUNIO";"JULIO";"AGOSTO";"SEPTIEMBRE";"OCTUBRE";"NOVIEMBRE";"DICIEMBRE"}, 0), BC63)</f>
        <v>44612</v>
      </c>
      <c r="BC63" s="2">
        <v>20</v>
      </c>
      <c r="BD63" s="2" t="s">
        <v>484</v>
      </c>
      <c r="BE63" s="2">
        <v>2022</v>
      </c>
      <c r="BF63" s="2"/>
      <c r="BG63" s="2">
        <v>2</v>
      </c>
      <c r="BH63" s="2">
        <v>1</v>
      </c>
      <c r="BI63" s="2" t="s">
        <v>143</v>
      </c>
      <c r="BJ63" s="2" t="s">
        <v>0</v>
      </c>
      <c r="BK63" s="2"/>
      <c r="BL63" s="2"/>
    </row>
    <row r="64" spans="1:64" ht="18.75" x14ac:dyDescent="0.25">
      <c r="A64" s="2">
        <v>63</v>
      </c>
      <c r="B64" s="2" t="str">
        <f t="shared" si="0"/>
        <v>ADN-P-63</v>
      </c>
      <c r="C64" s="2" t="s">
        <v>119</v>
      </c>
      <c r="D64" s="2" t="s">
        <v>118</v>
      </c>
      <c r="E64" s="2" t="s">
        <v>822</v>
      </c>
      <c r="F64" s="2" t="s">
        <v>821</v>
      </c>
      <c r="G64" s="2" t="s">
        <v>820</v>
      </c>
      <c r="H64" s="2" t="s">
        <v>819</v>
      </c>
      <c r="I64" s="2" t="s">
        <v>818</v>
      </c>
      <c r="J64" s="2" t="s">
        <v>817</v>
      </c>
      <c r="K64" s="2">
        <v>470.01</v>
      </c>
      <c r="L64" s="2">
        <v>120.62</v>
      </c>
      <c r="M64" s="2">
        <v>241.24</v>
      </c>
      <c r="N64" s="2">
        <v>12881</v>
      </c>
      <c r="O64" s="2">
        <v>13197</v>
      </c>
      <c r="P64" s="2">
        <f t="shared" si="1"/>
        <v>26078</v>
      </c>
      <c r="Q64" s="2" t="s">
        <v>86</v>
      </c>
      <c r="R64" s="2">
        <v>1</v>
      </c>
      <c r="S64" s="2">
        <v>0</v>
      </c>
      <c r="T64" s="2">
        <v>4</v>
      </c>
      <c r="U64" s="2">
        <v>0</v>
      </c>
      <c r="V64" s="2">
        <v>0</v>
      </c>
      <c r="W64" s="2">
        <v>22</v>
      </c>
      <c r="X64" s="2">
        <v>10</v>
      </c>
      <c r="Y64" s="2">
        <v>0</v>
      </c>
      <c r="Z64" s="2">
        <v>4</v>
      </c>
      <c r="AA64" s="2">
        <v>0</v>
      </c>
      <c r="AB64" s="2">
        <v>0</v>
      </c>
      <c r="AC64" s="2">
        <v>0</v>
      </c>
      <c r="AD64" s="2">
        <v>0</v>
      </c>
      <c r="AE64" s="2">
        <v>12</v>
      </c>
      <c r="AF64" s="2">
        <v>12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3">
        <f>DATE(BE64, MATCH(TRIM(BD64), {"ENERO";"FEBRERO";"MARZO";"ABRIL";"MAYO";"JUNIO";"JULIO";"AGOSTO";"SEPTIEMBRE";"OCTUBRE";"NOVIEMBRE";"DICIEMBRE"}, 0), BC64)</f>
        <v>44610</v>
      </c>
      <c r="BC64" s="2">
        <v>18</v>
      </c>
      <c r="BD64" s="2" t="s">
        <v>484</v>
      </c>
      <c r="BE64" s="2">
        <v>2022</v>
      </c>
      <c r="BF64" s="2"/>
      <c r="BG64" s="2">
        <v>3</v>
      </c>
      <c r="BH64" s="2">
        <v>1</v>
      </c>
      <c r="BI64" s="2" t="s">
        <v>1</v>
      </c>
      <c r="BJ64" s="2" t="s">
        <v>0</v>
      </c>
      <c r="BK64" s="2"/>
      <c r="BL64" s="2"/>
    </row>
    <row r="65" spans="1:64" ht="18.75" x14ac:dyDescent="0.25">
      <c r="A65" s="2">
        <v>64</v>
      </c>
      <c r="B65" s="2" t="str">
        <f t="shared" si="0"/>
        <v>ADN-P-64</v>
      </c>
      <c r="C65" s="2" t="s">
        <v>19</v>
      </c>
      <c r="D65" s="2" t="s">
        <v>47</v>
      </c>
      <c r="E65" s="2" t="s">
        <v>816</v>
      </c>
      <c r="F65" s="2" t="s">
        <v>815</v>
      </c>
      <c r="G65" s="2" t="s">
        <v>814</v>
      </c>
      <c r="H65" s="2" t="s">
        <v>813</v>
      </c>
      <c r="I65" s="2" t="s">
        <v>812</v>
      </c>
      <c r="J65" s="2" t="s">
        <v>811</v>
      </c>
      <c r="K65" s="2">
        <v>30</v>
      </c>
      <c r="L65" s="2">
        <v>10.84</v>
      </c>
      <c r="M65" s="2">
        <v>21.68</v>
      </c>
      <c r="N65" s="2">
        <v>4771</v>
      </c>
      <c r="O65" s="2">
        <v>5673</v>
      </c>
      <c r="P65" s="2">
        <f t="shared" si="1"/>
        <v>10444</v>
      </c>
      <c r="Q65" s="2" t="s">
        <v>58</v>
      </c>
      <c r="R65" s="2">
        <v>1</v>
      </c>
      <c r="S65" s="2">
        <v>0</v>
      </c>
      <c r="T65" s="2">
        <v>2</v>
      </c>
      <c r="U65" s="2">
        <v>0</v>
      </c>
      <c r="V65" s="2">
        <v>0</v>
      </c>
      <c r="W65" s="2">
        <v>3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3">
        <f>DATE(BE65, MATCH(TRIM(BD65), {"ENERO";"FEBRERO";"MARZO";"ABRIL";"MAYO";"JUNIO";"JULIO";"AGOSTO";"SEPTIEMBRE";"OCTUBRE";"NOVIEMBRE";"DICIEMBRE"}, 0), BC65)</f>
        <v>44616</v>
      </c>
      <c r="BC65" s="2">
        <v>24</v>
      </c>
      <c r="BD65" s="2" t="s">
        <v>484</v>
      </c>
      <c r="BE65" s="2">
        <v>2022</v>
      </c>
      <c r="BF65" s="2"/>
      <c r="BG65" s="2">
        <v>1</v>
      </c>
      <c r="BH65" s="2">
        <v>2</v>
      </c>
      <c r="BI65" s="2" t="s">
        <v>1</v>
      </c>
      <c r="BJ65" s="2" t="s">
        <v>0</v>
      </c>
      <c r="BK65" s="2"/>
      <c r="BL65" s="2"/>
    </row>
    <row r="66" spans="1:64" ht="18.75" x14ac:dyDescent="0.25">
      <c r="A66" s="2">
        <v>65</v>
      </c>
      <c r="B66" s="2" t="str">
        <f t="shared" ref="B66:B129" si="2">CONCATENATE("ADN-P-",A66)</f>
        <v>ADN-P-65</v>
      </c>
      <c r="C66" s="2" t="s">
        <v>9</v>
      </c>
      <c r="D66" s="2" t="s">
        <v>78</v>
      </c>
      <c r="E66" s="2" t="s">
        <v>810</v>
      </c>
      <c r="F66" s="2" t="s">
        <v>809</v>
      </c>
      <c r="G66" s="2" t="s">
        <v>808</v>
      </c>
      <c r="H66" s="2" t="s">
        <v>807</v>
      </c>
      <c r="I66" s="2" t="s">
        <v>806</v>
      </c>
      <c r="J66" s="2" t="s">
        <v>805</v>
      </c>
      <c r="K66" s="2">
        <v>882</v>
      </c>
      <c r="L66" s="2">
        <v>177.48</v>
      </c>
      <c r="M66" s="2">
        <v>354.96</v>
      </c>
      <c r="N66" s="2">
        <v>8085</v>
      </c>
      <c r="O66" s="2">
        <v>8843</v>
      </c>
      <c r="P66" s="2">
        <f t="shared" ref="P66:P129" si="3">SUM(N66:O66)</f>
        <v>16928</v>
      </c>
      <c r="Q66" s="2" t="s">
        <v>86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23</v>
      </c>
      <c r="AF66" s="2">
        <v>23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3">
        <f>DATE(BE66, MATCH(TRIM(BD66), {"ENERO";"FEBRERO";"MARZO";"ABRIL";"MAYO";"JUNIO";"JULIO";"AGOSTO";"SEPTIEMBRE";"OCTUBRE";"NOVIEMBRE";"DICIEMBRE"}, 0), BC66)</f>
        <v>44629</v>
      </c>
      <c r="BC66" s="2">
        <v>9</v>
      </c>
      <c r="BD66" s="2" t="s">
        <v>104</v>
      </c>
      <c r="BE66" s="2">
        <v>2022</v>
      </c>
      <c r="BF66" s="2"/>
      <c r="BG66" s="2">
        <v>2</v>
      </c>
      <c r="BH66" s="2">
        <v>1</v>
      </c>
      <c r="BI66" s="2" t="s">
        <v>143</v>
      </c>
      <c r="BJ66" s="2" t="s">
        <v>0</v>
      </c>
      <c r="BK66" s="2"/>
      <c r="BL66" s="2"/>
    </row>
    <row r="67" spans="1:64" ht="18.75" x14ac:dyDescent="0.25">
      <c r="A67" s="2">
        <v>66</v>
      </c>
      <c r="B67" s="2" t="str">
        <f t="shared" si="2"/>
        <v>ADN-P-66</v>
      </c>
      <c r="C67" s="2" t="s">
        <v>19</v>
      </c>
      <c r="D67" s="2" t="s">
        <v>47</v>
      </c>
      <c r="E67" s="2" t="s">
        <v>804</v>
      </c>
      <c r="F67" s="2" t="s">
        <v>803</v>
      </c>
      <c r="G67" s="2" t="s">
        <v>802</v>
      </c>
      <c r="H67" s="2" t="s">
        <v>801</v>
      </c>
      <c r="I67" s="2" t="s">
        <v>800</v>
      </c>
      <c r="J67" s="2" t="s">
        <v>799</v>
      </c>
      <c r="K67" s="2">
        <v>1920.16</v>
      </c>
      <c r="L67" s="2">
        <v>820.4</v>
      </c>
      <c r="M67" s="2">
        <v>1640.8</v>
      </c>
      <c r="N67" s="2">
        <v>4426</v>
      </c>
      <c r="O67" s="2">
        <v>5362</v>
      </c>
      <c r="P67" s="2">
        <f t="shared" si="3"/>
        <v>9788</v>
      </c>
      <c r="Q67" s="2" t="s">
        <v>660</v>
      </c>
      <c r="R67" s="2">
        <v>1</v>
      </c>
      <c r="S67" s="2">
        <v>0</v>
      </c>
      <c r="T67" s="2">
        <v>2</v>
      </c>
      <c r="U67" s="2">
        <v>0</v>
      </c>
      <c r="V67" s="2">
        <v>0</v>
      </c>
      <c r="W67" s="2">
        <v>34</v>
      </c>
      <c r="X67" s="2">
        <v>15</v>
      </c>
      <c r="Y67" s="2">
        <v>0</v>
      </c>
      <c r="Z67" s="2">
        <v>5</v>
      </c>
      <c r="AA67" s="2">
        <v>0</v>
      </c>
      <c r="AB67" s="2">
        <v>0</v>
      </c>
      <c r="AC67" s="2">
        <v>0</v>
      </c>
      <c r="AD67" s="2">
        <v>0</v>
      </c>
      <c r="AE67" s="2">
        <v>45</v>
      </c>
      <c r="AF67" s="2">
        <v>45</v>
      </c>
      <c r="AG67" s="2">
        <v>0</v>
      </c>
      <c r="AH67" s="2">
        <v>0</v>
      </c>
      <c r="AI67" s="2">
        <v>0</v>
      </c>
      <c r="AJ67" s="2">
        <v>10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3">
        <f>DATE(BE67, MATCH(TRIM(BD67), {"ENERO";"FEBRERO";"MARZO";"ABRIL";"MAYO";"JUNIO";"JULIO";"AGOSTO";"SEPTIEMBRE";"OCTUBRE";"NOVIEMBRE";"DICIEMBRE"}, 0), BC67)</f>
        <v>44632</v>
      </c>
      <c r="BC67" s="2">
        <v>12</v>
      </c>
      <c r="BD67" s="2" t="s">
        <v>104</v>
      </c>
      <c r="BE67" s="2">
        <v>2022</v>
      </c>
      <c r="BF67" s="2"/>
      <c r="BG67" s="2">
        <v>1</v>
      </c>
      <c r="BH67" s="2">
        <v>1</v>
      </c>
      <c r="BI67" s="2" t="s">
        <v>1</v>
      </c>
      <c r="BJ67" s="2" t="s">
        <v>0</v>
      </c>
      <c r="BK67" s="2"/>
      <c r="BL67" s="2"/>
    </row>
    <row r="68" spans="1:64" ht="18.75" x14ac:dyDescent="0.25">
      <c r="A68" s="2">
        <v>67</v>
      </c>
      <c r="B68" s="2" t="str">
        <f t="shared" si="2"/>
        <v>ADN-P-67</v>
      </c>
      <c r="C68" s="2" t="s">
        <v>19</v>
      </c>
      <c r="D68" s="2" t="s">
        <v>221</v>
      </c>
      <c r="E68" s="2" t="s">
        <v>798</v>
      </c>
      <c r="F68" s="2" t="s">
        <v>512</v>
      </c>
      <c r="G68" s="2" t="s">
        <v>797</v>
      </c>
      <c r="H68" s="2" t="s">
        <v>796</v>
      </c>
      <c r="I68" s="2" t="s">
        <v>795</v>
      </c>
      <c r="J68" s="2" t="s">
        <v>683</v>
      </c>
      <c r="K68" s="2">
        <v>17292</v>
      </c>
      <c r="L68" s="2">
        <v>304.83999999999997</v>
      </c>
      <c r="M68" s="2">
        <v>1066.9399999999998</v>
      </c>
      <c r="N68" s="2">
        <v>1419</v>
      </c>
      <c r="O68" s="2">
        <v>1553</v>
      </c>
      <c r="P68" s="2">
        <f t="shared" si="3"/>
        <v>2972</v>
      </c>
      <c r="Q68" s="2" t="s">
        <v>192</v>
      </c>
      <c r="R68" s="2">
        <v>1</v>
      </c>
      <c r="S68" s="2">
        <v>0</v>
      </c>
      <c r="T68" s="2">
        <v>1</v>
      </c>
      <c r="U68" s="2">
        <v>0</v>
      </c>
      <c r="V68" s="2">
        <v>0</v>
      </c>
      <c r="W68" s="2">
        <v>28</v>
      </c>
      <c r="X68" s="2">
        <v>50</v>
      </c>
      <c r="Y68" s="2">
        <v>0</v>
      </c>
      <c r="Z68" s="2">
        <v>16</v>
      </c>
      <c r="AA68" s="2">
        <v>15</v>
      </c>
      <c r="AB68" s="2">
        <v>0</v>
      </c>
      <c r="AC68" s="2">
        <v>3</v>
      </c>
      <c r="AD68" s="2">
        <v>5</v>
      </c>
      <c r="AE68" s="2">
        <v>85</v>
      </c>
      <c r="AF68" s="2">
        <v>85</v>
      </c>
      <c r="AG68" s="2">
        <v>518</v>
      </c>
      <c r="AH68" s="2">
        <v>0</v>
      </c>
      <c r="AI68" s="2">
        <v>1</v>
      </c>
      <c r="AJ68" s="2">
        <v>20</v>
      </c>
      <c r="AK68" s="2">
        <v>0</v>
      </c>
      <c r="AL68" s="2">
        <v>7</v>
      </c>
      <c r="AM68" s="2">
        <v>0</v>
      </c>
      <c r="AN68" s="2">
        <v>0</v>
      </c>
      <c r="AO68" s="2">
        <v>1</v>
      </c>
      <c r="AP68" s="2">
        <v>0</v>
      </c>
      <c r="AQ68" s="2">
        <v>2</v>
      </c>
      <c r="AR68" s="2">
        <v>0</v>
      </c>
      <c r="AS68" s="2">
        <v>2</v>
      </c>
      <c r="AT68" s="2">
        <v>0</v>
      </c>
      <c r="AU68" s="2">
        <v>1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6</v>
      </c>
      <c r="BB68" s="3">
        <f>DATE(BE68, MATCH(TRIM(BD68), {"ENERO";"FEBRERO";"MARZO";"ABRIL";"MAYO";"JUNIO";"JULIO";"AGOSTO";"SEPTIEMBRE";"OCTUBRE";"NOVIEMBRE";"DICIEMBRE"}, 0), BC68)</f>
        <v>44636</v>
      </c>
      <c r="BC68" s="2">
        <v>16</v>
      </c>
      <c r="BD68" s="2" t="s">
        <v>104</v>
      </c>
      <c r="BE68" s="2">
        <v>2022</v>
      </c>
      <c r="BF68" s="2"/>
      <c r="BG68" s="2">
        <v>1</v>
      </c>
      <c r="BH68" s="2">
        <v>1</v>
      </c>
      <c r="BI68" s="2" t="s">
        <v>143</v>
      </c>
      <c r="BJ68" s="2" t="s">
        <v>0</v>
      </c>
      <c r="BK68" s="2"/>
      <c r="BL68" s="2"/>
    </row>
    <row r="69" spans="1:64" ht="18.75" x14ac:dyDescent="0.25">
      <c r="A69" s="2">
        <v>68</v>
      </c>
      <c r="B69" s="2" t="str">
        <f t="shared" si="2"/>
        <v>ADN-P-68</v>
      </c>
      <c r="C69" s="2" t="s">
        <v>19</v>
      </c>
      <c r="D69" s="2" t="s">
        <v>137</v>
      </c>
      <c r="E69" s="2" t="s">
        <v>794</v>
      </c>
      <c r="F69" s="2" t="s">
        <v>793</v>
      </c>
      <c r="G69" s="2" t="s">
        <v>792</v>
      </c>
      <c r="H69" s="2" t="s">
        <v>791</v>
      </c>
      <c r="I69" s="2" t="s">
        <v>790</v>
      </c>
      <c r="J69" s="2" t="s">
        <v>630</v>
      </c>
      <c r="K69" s="2">
        <v>416.51</v>
      </c>
      <c r="L69" s="2">
        <v>128.30000000000001</v>
      </c>
      <c r="M69" s="2">
        <v>256.60000000000002</v>
      </c>
      <c r="N69" s="2">
        <v>2489</v>
      </c>
      <c r="O69" s="2">
        <v>3046</v>
      </c>
      <c r="P69" s="2">
        <f t="shared" si="3"/>
        <v>5535</v>
      </c>
      <c r="Q69" s="2" t="s">
        <v>192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9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11</v>
      </c>
      <c r="AF69" s="2">
        <v>11</v>
      </c>
      <c r="AG69" s="2">
        <v>0</v>
      </c>
      <c r="AH69" s="2">
        <v>0</v>
      </c>
      <c r="AI69" s="2">
        <v>0</v>
      </c>
      <c r="AJ69" s="2">
        <v>0</v>
      </c>
      <c r="AK69" s="2">
        <v>2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3">
        <f>DATE(BE69, MATCH(TRIM(BD69), {"ENERO";"FEBRERO";"MARZO";"ABRIL";"MAYO";"JUNIO";"JULIO";"AGOSTO";"SEPTIEMBRE";"OCTUBRE";"NOVIEMBRE";"DICIEMBRE"}, 0), BC69)</f>
        <v>44638</v>
      </c>
      <c r="BC69" s="2">
        <v>18</v>
      </c>
      <c r="BD69" s="2" t="s">
        <v>104</v>
      </c>
      <c r="BE69" s="2">
        <v>2022</v>
      </c>
      <c r="BF69" s="2"/>
      <c r="BG69" s="2">
        <v>1</v>
      </c>
      <c r="BH69" s="2">
        <v>1</v>
      </c>
      <c r="BI69" s="2" t="s">
        <v>143</v>
      </c>
      <c r="BJ69" s="2" t="s">
        <v>0</v>
      </c>
      <c r="BK69" s="2"/>
      <c r="BL69" s="2"/>
    </row>
    <row r="70" spans="1:64" ht="18.75" x14ac:dyDescent="0.25">
      <c r="A70" s="2">
        <v>69</v>
      </c>
      <c r="B70" s="2" t="str">
        <f t="shared" si="2"/>
        <v>ADN-P-69</v>
      </c>
      <c r="C70" s="2" t="s">
        <v>119</v>
      </c>
      <c r="D70" s="2" t="s">
        <v>586</v>
      </c>
      <c r="E70" s="2" t="s">
        <v>789</v>
      </c>
      <c r="F70" s="2" t="s">
        <v>788</v>
      </c>
      <c r="G70" s="2" t="s">
        <v>787</v>
      </c>
      <c r="H70" s="2" t="s">
        <v>786</v>
      </c>
      <c r="I70" s="2" t="s">
        <v>785</v>
      </c>
      <c r="J70" s="2" t="s">
        <v>784</v>
      </c>
      <c r="K70" s="2">
        <v>199.38</v>
      </c>
      <c r="L70" s="2">
        <v>37.450000000000003</v>
      </c>
      <c r="M70" s="2">
        <v>74.900000000000006</v>
      </c>
      <c r="N70" s="2">
        <v>19077</v>
      </c>
      <c r="O70" s="2">
        <v>20273</v>
      </c>
      <c r="P70" s="2">
        <f t="shared" si="3"/>
        <v>39350</v>
      </c>
      <c r="Q70" s="2" t="s">
        <v>86</v>
      </c>
      <c r="R70" s="2">
        <v>1</v>
      </c>
      <c r="S70" s="2">
        <v>1</v>
      </c>
      <c r="T70" s="2">
        <v>1</v>
      </c>
      <c r="U70" s="2">
        <v>1</v>
      </c>
      <c r="V70" s="2">
        <v>0</v>
      </c>
      <c r="W70" s="2">
        <v>2</v>
      </c>
      <c r="X70" s="2">
        <v>1</v>
      </c>
      <c r="Y70" s="2">
        <v>0</v>
      </c>
      <c r="Z70" s="2">
        <v>0</v>
      </c>
      <c r="AA70" s="2">
        <v>3</v>
      </c>
      <c r="AB70" s="2">
        <v>0</v>
      </c>
      <c r="AC70" s="2">
        <v>0</v>
      </c>
      <c r="AD70" s="2">
        <v>0</v>
      </c>
      <c r="AE70" s="2">
        <v>3</v>
      </c>
      <c r="AF70" s="2">
        <v>3</v>
      </c>
      <c r="AG70" s="2">
        <v>0</v>
      </c>
      <c r="AH70" s="2">
        <v>0</v>
      </c>
      <c r="AI70" s="2">
        <v>0</v>
      </c>
      <c r="AJ70" s="2">
        <v>3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3">
        <f>DATE(BE70, MATCH(TRIM(BD70), {"ENERO";"FEBRERO";"MARZO";"ABRIL";"MAYO";"JUNIO";"JULIO";"AGOSTO";"SEPTIEMBRE";"OCTUBRE";"NOVIEMBRE";"DICIEMBRE"}, 0), BC70)</f>
        <v>44639</v>
      </c>
      <c r="BC70" s="2">
        <v>19</v>
      </c>
      <c r="BD70" s="2" t="s">
        <v>104</v>
      </c>
      <c r="BE70" s="2">
        <v>2022</v>
      </c>
      <c r="BF70" s="2"/>
      <c r="BG70" s="2">
        <v>3</v>
      </c>
      <c r="BH70" s="2">
        <v>1</v>
      </c>
      <c r="BI70" s="2" t="s">
        <v>143</v>
      </c>
      <c r="BJ70" s="2" t="s">
        <v>0</v>
      </c>
      <c r="BK70" s="2"/>
      <c r="BL70" s="2"/>
    </row>
    <row r="71" spans="1:64" ht="18.75" x14ac:dyDescent="0.25">
      <c r="A71" s="2">
        <v>70</v>
      </c>
      <c r="B71" s="2" t="str">
        <f t="shared" si="2"/>
        <v>ADN-P-70</v>
      </c>
      <c r="C71" s="2" t="s">
        <v>119</v>
      </c>
      <c r="D71" s="2" t="s">
        <v>783</v>
      </c>
      <c r="E71" s="2" t="s">
        <v>782</v>
      </c>
      <c r="F71" s="2" t="s">
        <v>781</v>
      </c>
      <c r="G71" s="2" t="s">
        <v>780</v>
      </c>
      <c r="H71" s="2" t="s">
        <v>779</v>
      </c>
      <c r="I71" s="2" t="s">
        <v>778</v>
      </c>
      <c r="J71" s="2" t="s">
        <v>777</v>
      </c>
      <c r="K71" s="2">
        <v>4156.1400000000003</v>
      </c>
      <c r="L71" s="2">
        <v>240.08</v>
      </c>
      <c r="M71" s="2">
        <v>480.16</v>
      </c>
      <c r="N71" s="2">
        <v>10076</v>
      </c>
      <c r="O71" s="2">
        <v>10727</v>
      </c>
      <c r="P71" s="2">
        <f t="shared" si="3"/>
        <v>20803</v>
      </c>
      <c r="Q71" s="2" t="s">
        <v>192</v>
      </c>
      <c r="R71" s="2">
        <v>3</v>
      </c>
      <c r="S71" s="2">
        <v>4</v>
      </c>
      <c r="T71" s="2">
        <v>2</v>
      </c>
      <c r="U71" s="2">
        <v>0</v>
      </c>
      <c r="V71" s="2">
        <v>0</v>
      </c>
      <c r="W71" s="2">
        <v>16</v>
      </c>
      <c r="X71" s="2">
        <v>0</v>
      </c>
      <c r="Y71" s="2">
        <v>0</v>
      </c>
      <c r="Z71" s="2">
        <v>3</v>
      </c>
      <c r="AA71" s="2">
        <v>0</v>
      </c>
      <c r="AB71" s="2">
        <v>0</v>
      </c>
      <c r="AC71" s="2">
        <v>3</v>
      </c>
      <c r="AD71" s="2">
        <v>2</v>
      </c>
      <c r="AE71" s="2">
        <v>41</v>
      </c>
      <c r="AF71" s="2">
        <v>41</v>
      </c>
      <c r="AG71" s="2">
        <v>307.39999999999998</v>
      </c>
      <c r="AH71" s="2">
        <v>1</v>
      </c>
      <c r="AI71" s="2">
        <v>21</v>
      </c>
      <c r="AJ71" s="2">
        <v>11</v>
      </c>
      <c r="AK71" s="2">
        <v>2</v>
      </c>
      <c r="AL71" s="2">
        <v>3</v>
      </c>
      <c r="AM71" s="2">
        <v>0</v>
      </c>
      <c r="AN71" s="2">
        <v>0</v>
      </c>
      <c r="AO71" s="2">
        <v>0</v>
      </c>
      <c r="AP71" s="2">
        <v>0</v>
      </c>
      <c r="AQ71" s="2">
        <v>4</v>
      </c>
      <c r="AR71" s="2">
        <v>0</v>
      </c>
      <c r="AS71" s="2">
        <v>2</v>
      </c>
      <c r="AT71" s="2">
        <v>0</v>
      </c>
      <c r="AU71" s="2">
        <v>1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3">
        <f>DATE(BE71, MATCH(TRIM(BD71), {"ENERO";"FEBRERO";"MARZO";"ABRIL";"MAYO";"JUNIO";"JULIO";"AGOSTO";"SEPTIEMBRE";"OCTUBRE";"NOVIEMBRE";"DICIEMBRE"}, 0), BC71)</f>
        <v>44691</v>
      </c>
      <c r="BC71" s="2">
        <v>10</v>
      </c>
      <c r="BD71" s="2" t="s">
        <v>79</v>
      </c>
      <c r="BE71" s="2">
        <v>2022</v>
      </c>
      <c r="BF71" s="2"/>
      <c r="BG71" s="2">
        <v>3</v>
      </c>
      <c r="BH71" s="2">
        <v>1</v>
      </c>
      <c r="BI71" s="2" t="s">
        <v>143</v>
      </c>
      <c r="BJ71" s="2" t="s">
        <v>0</v>
      </c>
      <c r="BK71" s="2"/>
      <c r="BL71" s="2"/>
    </row>
    <row r="72" spans="1:64" ht="18.75" x14ac:dyDescent="0.25">
      <c r="A72" s="2">
        <v>71</v>
      </c>
      <c r="B72" s="2" t="str">
        <f t="shared" si="2"/>
        <v>ADN-P-71</v>
      </c>
      <c r="C72" s="2" t="s">
        <v>19</v>
      </c>
      <c r="D72" s="2" t="s">
        <v>137</v>
      </c>
      <c r="E72" s="2" t="s">
        <v>776</v>
      </c>
      <c r="F72" s="2" t="s">
        <v>775</v>
      </c>
      <c r="G72" s="2" t="s">
        <v>774</v>
      </c>
      <c r="H72" s="2" t="s">
        <v>773</v>
      </c>
      <c r="I72" s="2" t="s">
        <v>772</v>
      </c>
      <c r="J72" s="2" t="s">
        <v>614</v>
      </c>
      <c r="K72" s="2">
        <v>47</v>
      </c>
      <c r="L72" s="2">
        <v>22.28</v>
      </c>
      <c r="M72" s="2">
        <v>44.56</v>
      </c>
      <c r="N72" s="2">
        <v>3737</v>
      </c>
      <c r="O72" s="2">
        <v>4055</v>
      </c>
      <c r="P72" s="2">
        <f t="shared" si="3"/>
        <v>7792</v>
      </c>
      <c r="Q72" s="2" t="s">
        <v>58</v>
      </c>
      <c r="R72" s="2">
        <v>1</v>
      </c>
      <c r="S72" s="2">
        <v>0</v>
      </c>
      <c r="T72" s="2">
        <v>1</v>
      </c>
      <c r="U72" s="2">
        <v>0</v>
      </c>
      <c r="V72" s="2">
        <v>0</v>
      </c>
      <c r="W72" s="2">
        <v>3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3">
        <f>DATE(BE72, MATCH(TRIM(BD72), {"ENERO";"FEBRERO";"MARZO";"ABRIL";"MAYO";"JUNIO";"JULIO";"AGOSTO";"SEPTIEMBRE";"OCTUBRE";"NOVIEMBRE";"DICIEMBRE"}, 0), BC72)</f>
        <v>44651</v>
      </c>
      <c r="BC72" s="2">
        <v>31</v>
      </c>
      <c r="BD72" s="2" t="s">
        <v>104</v>
      </c>
      <c r="BE72" s="2">
        <v>2022</v>
      </c>
      <c r="BF72" s="2"/>
      <c r="BG72" s="2">
        <v>1</v>
      </c>
      <c r="BH72" s="2">
        <v>2</v>
      </c>
      <c r="BI72" s="2" t="s">
        <v>1</v>
      </c>
      <c r="BJ72" s="2" t="s">
        <v>0</v>
      </c>
      <c r="BK72" s="2"/>
      <c r="BL72" s="2"/>
    </row>
    <row r="73" spans="1:64" ht="18.75" x14ac:dyDescent="0.25">
      <c r="A73" s="2">
        <v>72</v>
      </c>
      <c r="B73" s="2" t="str">
        <f t="shared" si="2"/>
        <v>ADN-P-72</v>
      </c>
      <c r="C73" s="2" t="s">
        <v>19</v>
      </c>
      <c r="D73" s="2" t="s">
        <v>18</v>
      </c>
      <c r="E73" s="2" t="s">
        <v>771</v>
      </c>
      <c r="F73" s="2" t="s">
        <v>770</v>
      </c>
      <c r="G73" s="2" t="s">
        <v>769</v>
      </c>
      <c r="H73" s="2" t="s">
        <v>768</v>
      </c>
      <c r="I73" s="2" t="s">
        <v>767</v>
      </c>
      <c r="J73" s="2" t="s">
        <v>766</v>
      </c>
      <c r="K73" s="2">
        <v>50</v>
      </c>
      <c r="L73" s="2">
        <v>9.1199999999999992</v>
      </c>
      <c r="M73" s="2">
        <v>18.239999999999998</v>
      </c>
      <c r="N73" s="2">
        <v>7227</v>
      </c>
      <c r="O73" s="2">
        <v>7824</v>
      </c>
      <c r="P73" s="2">
        <f t="shared" si="3"/>
        <v>15051</v>
      </c>
      <c r="Q73" s="2" t="s">
        <v>58</v>
      </c>
      <c r="R73" s="2">
        <v>1</v>
      </c>
      <c r="S73" s="2">
        <v>0</v>
      </c>
      <c r="T73" s="2">
        <v>0</v>
      </c>
      <c r="U73" s="2">
        <v>0</v>
      </c>
      <c r="V73" s="2">
        <v>0</v>
      </c>
      <c r="W73" s="2">
        <v>1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3">
        <f>DATE(BE73, MATCH(TRIM(BD73), {"ENERO";"FEBRERO";"MARZO";"ABRIL";"MAYO";"JUNIO";"JULIO";"AGOSTO";"SEPTIEMBRE";"OCTUBRE";"NOVIEMBRE";"DICIEMBRE"}, 0), BC73)</f>
        <v>44651</v>
      </c>
      <c r="BC73" s="2">
        <v>31</v>
      </c>
      <c r="BD73" s="2" t="s">
        <v>104</v>
      </c>
      <c r="BE73" s="2">
        <v>2022</v>
      </c>
      <c r="BF73" s="2"/>
      <c r="BG73" s="2">
        <v>1</v>
      </c>
      <c r="BH73" s="2">
        <v>2</v>
      </c>
      <c r="BI73" s="2" t="s">
        <v>1</v>
      </c>
      <c r="BJ73" s="2" t="s">
        <v>0</v>
      </c>
      <c r="BK73" s="2"/>
      <c r="BL73" s="2"/>
    </row>
    <row r="74" spans="1:64" ht="18.75" x14ac:dyDescent="0.25">
      <c r="A74" s="2">
        <v>73</v>
      </c>
      <c r="B74" s="2" t="str">
        <f t="shared" si="2"/>
        <v>ADN-P-73</v>
      </c>
      <c r="C74" s="2" t="s">
        <v>119</v>
      </c>
      <c r="D74" s="2" t="s">
        <v>137</v>
      </c>
      <c r="E74" s="2" t="s">
        <v>765</v>
      </c>
      <c r="F74" s="2" t="s">
        <v>764</v>
      </c>
      <c r="G74" s="2" t="s">
        <v>763</v>
      </c>
      <c r="H74" s="2" t="s">
        <v>762</v>
      </c>
      <c r="I74" s="2" t="s">
        <v>761</v>
      </c>
      <c r="J74" s="2" t="s">
        <v>131</v>
      </c>
      <c r="K74" s="2">
        <v>959.72</v>
      </c>
      <c r="L74" s="2">
        <v>59.99</v>
      </c>
      <c r="M74" s="2">
        <v>119.98</v>
      </c>
      <c r="N74" s="2">
        <v>7256</v>
      </c>
      <c r="O74" s="2">
        <v>7711</v>
      </c>
      <c r="P74" s="2">
        <f t="shared" si="3"/>
        <v>14967</v>
      </c>
      <c r="Q74" s="2" t="s">
        <v>58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4</v>
      </c>
      <c r="X74" s="2">
        <v>2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1</v>
      </c>
      <c r="AL74" s="2">
        <v>2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3">
        <f>DATE(BE74, MATCH(TRIM(BD74), {"ENERO";"FEBRERO";"MARZO";"ABRIL";"MAYO";"JUNIO";"JULIO";"AGOSTO";"SEPTIEMBRE";"OCTUBRE";"NOVIEMBRE";"DICIEMBRE"}, 0), BC74)</f>
        <v>44650</v>
      </c>
      <c r="BC74" s="2">
        <v>30</v>
      </c>
      <c r="BD74" s="2" t="s">
        <v>104</v>
      </c>
      <c r="BE74" s="2">
        <v>2022</v>
      </c>
      <c r="BF74" s="2"/>
      <c r="BG74" s="2">
        <v>3</v>
      </c>
      <c r="BH74" s="2">
        <v>1</v>
      </c>
      <c r="BI74" s="2" t="s">
        <v>1</v>
      </c>
      <c r="BJ74" s="2" t="s">
        <v>0</v>
      </c>
      <c r="BK74" s="2"/>
      <c r="BL74" s="2"/>
    </row>
    <row r="75" spans="1:64" ht="18.75" x14ac:dyDescent="0.25">
      <c r="A75" s="2">
        <v>74</v>
      </c>
      <c r="B75" s="2" t="str">
        <f t="shared" si="2"/>
        <v>ADN-P-74</v>
      </c>
      <c r="C75" s="2" t="s">
        <v>19</v>
      </c>
      <c r="D75" s="2" t="s">
        <v>137</v>
      </c>
      <c r="E75" s="2" t="s">
        <v>760</v>
      </c>
      <c r="F75" s="2" t="s">
        <v>759</v>
      </c>
      <c r="G75" s="2" t="s">
        <v>758</v>
      </c>
      <c r="H75" s="2" t="s">
        <v>757</v>
      </c>
      <c r="I75" s="2" t="s">
        <v>756</v>
      </c>
      <c r="J75" s="2" t="s">
        <v>614</v>
      </c>
      <c r="K75" s="2">
        <v>350</v>
      </c>
      <c r="L75" s="2">
        <v>48.69</v>
      </c>
      <c r="M75" s="2">
        <v>97.38</v>
      </c>
      <c r="N75" s="2">
        <v>3737</v>
      </c>
      <c r="O75" s="2">
        <v>4055</v>
      </c>
      <c r="P75" s="2">
        <f t="shared" si="3"/>
        <v>7792</v>
      </c>
      <c r="Q75" s="2" t="s">
        <v>86</v>
      </c>
      <c r="R75" s="2">
        <v>1</v>
      </c>
      <c r="S75" s="2">
        <v>0</v>
      </c>
      <c r="T75" s="2">
        <v>1</v>
      </c>
      <c r="U75" s="2">
        <v>0</v>
      </c>
      <c r="V75" s="2">
        <v>0</v>
      </c>
      <c r="W75" s="2">
        <v>12</v>
      </c>
      <c r="X75" s="2">
        <v>16</v>
      </c>
      <c r="Y75" s="2">
        <v>0</v>
      </c>
      <c r="Z75" s="2">
        <v>2</v>
      </c>
      <c r="AA75" s="2">
        <v>0</v>
      </c>
      <c r="AB75" s="2">
        <v>3</v>
      </c>
      <c r="AC75" s="2">
        <v>0</v>
      </c>
      <c r="AD75" s="2">
        <v>0</v>
      </c>
      <c r="AE75" s="2">
        <v>12</v>
      </c>
      <c r="AF75" s="2">
        <v>12</v>
      </c>
      <c r="AG75" s="2">
        <v>0</v>
      </c>
      <c r="AH75" s="2">
        <v>0</v>
      </c>
      <c r="AI75" s="2">
        <v>0</v>
      </c>
      <c r="AJ75" s="2">
        <v>1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3">
        <f>DATE(BE75, MATCH(TRIM(BD75), {"ENERO";"FEBRERO";"MARZO";"ABRIL";"MAYO";"JUNIO";"JULIO";"AGOSTO";"SEPTIEMBRE";"OCTUBRE";"NOVIEMBRE";"DICIEMBRE"}, 0), BC75)</f>
        <v>44651</v>
      </c>
      <c r="BC75" s="2">
        <v>31</v>
      </c>
      <c r="BD75" s="2" t="s">
        <v>104</v>
      </c>
      <c r="BE75" s="2">
        <v>2022</v>
      </c>
      <c r="BF75" s="2"/>
      <c r="BG75" s="2">
        <v>1</v>
      </c>
      <c r="BH75" s="2">
        <v>1</v>
      </c>
      <c r="BI75" s="2" t="s">
        <v>143</v>
      </c>
      <c r="BJ75" s="2" t="s">
        <v>0</v>
      </c>
      <c r="BK75" s="2"/>
      <c r="BL75" s="2"/>
    </row>
    <row r="76" spans="1:64" ht="18.75" x14ac:dyDescent="0.25">
      <c r="A76" s="2">
        <v>75</v>
      </c>
      <c r="B76" s="2" t="str">
        <f t="shared" si="2"/>
        <v>ADN-P-75</v>
      </c>
      <c r="C76" s="2" t="s">
        <v>19</v>
      </c>
      <c r="D76" s="2" t="s">
        <v>47</v>
      </c>
      <c r="E76" s="2" t="s">
        <v>755</v>
      </c>
      <c r="F76" s="2" t="s">
        <v>753</v>
      </c>
      <c r="G76" s="2" t="s">
        <v>752</v>
      </c>
      <c r="H76" s="2" t="s">
        <v>751</v>
      </c>
      <c r="I76" s="2" t="s">
        <v>750</v>
      </c>
      <c r="J76" s="2" t="s">
        <v>749</v>
      </c>
      <c r="K76" s="2">
        <v>414.77</v>
      </c>
      <c r="L76" s="2">
        <v>114.7</v>
      </c>
      <c r="M76" s="2">
        <v>229.4</v>
      </c>
      <c r="N76" s="2">
        <v>4121</v>
      </c>
      <c r="O76" s="2">
        <v>5095</v>
      </c>
      <c r="P76" s="2">
        <f t="shared" si="3"/>
        <v>9216</v>
      </c>
      <c r="Q76" s="2" t="s">
        <v>86</v>
      </c>
      <c r="R76" s="2">
        <v>1</v>
      </c>
      <c r="S76" s="2">
        <v>6</v>
      </c>
      <c r="T76" s="2">
        <v>0</v>
      </c>
      <c r="U76" s="2">
        <v>1</v>
      </c>
      <c r="V76" s="2">
        <v>0</v>
      </c>
      <c r="W76" s="2">
        <v>1</v>
      </c>
      <c r="X76" s="2">
        <v>3</v>
      </c>
      <c r="Y76" s="2">
        <v>0</v>
      </c>
      <c r="Z76" s="2">
        <v>6</v>
      </c>
      <c r="AA76" s="2">
        <v>9</v>
      </c>
      <c r="AB76" s="2">
        <v>0</v>
      </c>
      <c r="AC76" s="2">
        <v>2</v>
      </c>
      <c r="AD76" s="2">
        <v>2</v>
      </c>
      <c r="AE76" s="2">
        <v>8</v>
      </c>
      <c r="AF76" s="2">
        <v>8</v>
      </c>
      <c r="AG76" s="2">
        <v>0</v>
      </c>
      <c r="AH76" s="2">
        <v>0</v>
      </c>
      <c r="AI76" s="2">
        <v>9</v>
      </c>
      <c r="AJ76" s="2">
        <v>2</v>
      </c>
      <c r="AK76" s="2">
        <v>0</v>
      </c>
      <c r="AL76" s="2">
        <v>0</v>
      </c>
      <c r="AM76" s="2">
        <v>1</v>
      </c>
      <c r="AN76" s="2">
        <v>0</v>
      </c>
      <c r="AO76" s="2">
        <v>0</v>
      </c>
      <c r="AP76" s="2">
        <v>0</v>
      </c>
      <c r="AQ76" s="2">
        <v>2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3">
        <f>DATE(BE76, MATCH(TRIM(BD76), {"ENERO";"FEBRERO";"MARZO";"ABRIL";"MAYO";"JUNIO";"JULIO";"AGOSTO";"SEPTIEMBRE";"OCTUBRE";"NOVIEMBRE";"DICIEMBRE"}, 0), BC76)</f>
        <v>44651</v>
      </c>
      <c r="BC76" s="2">
        <v>31</v>
      </c>
      <c r="BD76" s="2" t="s">
        <v>104</v>
      </c>
      <c r="BE76" s="2">
        <v>2022</v>
      </c>
      <c r="BF76" s="2"/>
      <c r="BG76" s="2">
        <v>1</v>
      </c>
      <c r="BH76" s="2">
        <v>1</v>
      </c>
      <c r="BI76" s="2" t="s">
        <v>143</v>
      </c>
      <c r="BJ76" s="2" t="s">
        <v>0</v>
      </c>
      <c r="BK76" s="2"/>
      <c r="BL76" s="2"/>
    </row>
    <row r="77" spans="1:64" ht="18.75" x14ac:dyDescent="0.25">
      <c r="A77" s="2">
        <v>76</v>
      </c>
      <c r="B77" s="2" t="str">
        <f t="shared" si="2"/>
        <v>ADN-P-76</v>
      </c>
      <c r="C77" s="2" t="s">
        <v>19</v>
      </c>
      <c r="D77" s="2" t="s">
        <v>747</v>
      </c>
      <c r="E77" s="2" t="s">
        <v>754</v>
      </c>
      <c r="F77" s="2" t="s">
        <v>753</v>
      </c>
      <c r="G77" s="2" t="s">
        <v>752</v>
      </c>
      <c r="H77" s="2" t="s">
        <v>751</v>
      </c>
      <c r="I77" s="2" t="s">
        <v>750</v>
      </c>
      <c r="J77" s="2" t="s">
        <v>749</v>
      </c>
      <c r="K77" s="2">
        <v>828</v>
      </c>
      <c r="L77" s="2">
        <v>65.08</v>
      </c>
      <c r="M77" s="2">
        <v>130.16</v>
      </c>
      <c r="N77" s="2">
        <v>4121</v>
      </c>
      <c r="O77" s="2">
        <v>5095</v>
      </c>
      <c r="P77" s="2">
        <f t="shared" si="3"/>
        <v>9216</v>
      </c>
      <c r="Q77" s="2" t="s">
        <v>86</v>
      </c>
      <c r="R77" s="2">
        <v>1</v>
      </c>
      <c r="S77" s="2">
        <v>0</v>
      </c>
      <c r="T77" s="2">
        <v>0</v>
      </c>
      <c r="U77" s="2">
        <v>0</v>
      </c>
      <c r="V77" s="2">
        <v>0</v>
      </c>
      <c r="W77" s="2">
        <v>8</v>
      </c>
      <c r="X77" s="2">
        <v>3</v>
      </c>
      <c r="Y77" s="2">
        <v>0</v>
      </c>
      <c r="Z77" s="2">
        <v>2</v>
      </c>
      <c r="AA77" s="2">
        <v>0</v>
      </c>
      <c r="AB77" s="2">
        <v>0</v>
      </c>
      <c r="AC77" s="2">
        <v>0</v>
      </c>
      <c r="AD77" s="2">
        <v>0</v>
      </c>
      <c r="AE77" s="2">
        <v>15</v>
      </c>
      <c r="AF77" s="2">
        <v>15</v>
      </c>
      <c r="AG77" s="2" t="s">
        <v>748</v>
      </c>
      <c r="AH77" s="2">
        <v>0</v>
      </c>
      <c r="AI77" s="2">
        <v>0</v>
      </c>
      <c r="AJ77" s="2">
        <v>9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3">
        <f>DATE(BE77, MATCH(TRIM(BD77), {"ENERO";"FEBRERO";"MARZO";"ABRIL";"MAYO";"JUNIO";"JULIO";"AGOSTO";"SEPTIEMBRE";"OCTUBRE";"NOVIEMBRE";"DICIEMBRE"}, 0), BC77)</f>
        <v>44651</v>
      </c>
      <c r="BC77" s="2">
        <v>31</v>
      </c>
      <c r="BD77" s="2" t="s">
        <v>104</v>
      </c>
      <c r="BE77" s="2">
        <v>2022</v>
      </c>
      <c r="BF77" s="2"/>
      <c r="BG77" s="2">
        <v>1</v>
      </c>
      <c r="BH77" s="2">
        <v>1</v>
      </c>
      <c r="BI77" s="2" t="s">
        <v>143</v>
      </c>
      <c r="BJ77" s="2" t="s">
        <v>0</v>
      </c>
      <c r="BK77" s="2"/>
      <c r="BL77" s="2"/>
    </row>
    <row r="78" spans="1:64" ht="18.75" x14ac:dyDescent="0.25">
      <c r="A78" s="2">
        <v>77</v>
      </c>
      <c r="B78" s="2" t="str">
        <f t="shared" si="2"/>
        <v>ADN-P-77</v>
      </c>
      <c r="C78" s="2" t="s">
        <v>19</v>
      </c>
      <c r="D78" s="2" t="s">
        <v>747</v>
      </c>
      <c r="E78" s="2" t="s">
        <v>746</v>
      </c>
      <c r="F78" s="2" t="s">
        <v>740</v>
      </c>
      <c r="G78" s="2" t="s">
        <v>745</v>
      </c>
      <c r="H78" s="2" t="s">
        <v>744</v>
      </c>
      <c r="I78" s="2" t="s">
        <v>743</v>
      </c>
      <c r="J78" s="2" t="s">
        <v>742</v>
      </c>
      <c r="K78" s="2">
        <v>1112</v>
      </c>
      <c r="L78" s="2">
        <v>47.01</v>
      </c>
      <c r="M78" s="2">
        <v>94.02</v>
      </c>
      <c r="N78" s="2">
        <v>4771</v>
      </c>
      <c r="O78" s="2">
        <v>5673</v>
      </c>
      <c r="P78" s="2">
        <f t="shared" si="3"/>
        <v>10444</v>
      </c>
      <c r="Q78" s="2" t="s">
        <v>86</v>
      </c>
      <c r="R78" s="2">
        <v>1</v>
      </c>
      <c r="S78" s="2">
        <v>1</v>
      </c>
      <c r="T78" s="2">
        <v>0</v>
      </c>
      <c r="U78" s="2">
        <v>1</v>
      </c>
      <c r="V78" s="2">
        <v>0</v>
      </c>
      <c r="W78" s="2">
        <v>13</v>
      </c>
      <c r="X78" s="2">
        <v>8</v>
      </c>
      <c r="Y78" s="2">
        <v>0</v>
      </c>
      <c r="Z78" s="2">
        <v>3</v>
      </c>
      <c r="AA78" s="2">
        <v>3</v>
      </c>
      <c r="AB78" s="2">
        <v>0</v>
      </c>
      <c r="AC78" s="2">
        <v>0</v>
      </c>
      <c r="AD78" s="2">
        <v>0</v>
      </c>
      <c r="AE78" s="2">
        <v>11</v>
      </c>
      <c r="AF78" s="2">
        <v>10</v>
      </c>
      <c r="AG78" s="2">
        <v>40</v>
      </c>
      <c r="AH78" s="2">
        <v>0</v>
      </c>
      <c r="AI78" s="2">
        <v>2</v>
      </c>
      <c r="AJ78" s="2">
        <v>6</v>
      </c>
      <c r="AK78" s="2">
        <v>0</v>
      </c>
      <c r="AL78" s="2">
        <v>1</v>
      </c>
      <c r="AM78" s="2">
        <v>1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3">
        <f>DATE(BE78, MATCH(TRIM(BD78), {"ENERO";"FEBRERO";"MARZO";"ABRIL";"MAYO";"JUNIO";"JULIO";"AGOSTO";"SEPTIEMBRE";"OCTUBRE";"NOVIEMBRE";"DICIEMBRE"}, 0), BC78)</f>
        <v>44653</v>
      </c>
      <c r="BC78" s="2">
        <v>2</v>
      </c>
      <c r="BD78" s="2" t="s">
        <v>93</v>
      </c>
      <c r="BE78" s="2">
        <v>2022</v>
      </c>
      <c r="BF78" s="2"/>
      <c r="BG78" s="2">
        <v>1</v>
      </c>
      <c r="BH78" s="2">
        <v>1</v>
      </c>
      <c r="BI78" s="2" t="s">
        <v>48</v>
      </c>
      <c r="BJ78" s="2" t="s">
        <v>0</v>
      </c>
      <c r="BK78" s="2"/>
      <c r="BL78" s="2"/>
    </row>
    <row r="79" spans="1:64" ht="18.75" x14ac:dyDescent="0.25">
      <c r="A79" s="2">
        <v>78</v>
      </c>
      <c r="B79" s="2" t="str">
        <f t="shared" si="2"/>
        <v>ADN-P-78</v>
      </c>
      <c r="C79" s="2" t="s">
        <v>19</v>
      </c>
      <c r="D79" s="2" t="s">
        <v>25</v>
      </c>
      <c r="E79" s="2" t="s">
        <v>741</v>
      </c>
      <c r="F79" s="2" t="s">
        <v>740</v>
      </c>
      <c r="G79" s="2" t="s">
        <v>739</v>
      </c>
      <c r="H79" s="2" t="s">
        <v>738</v>
      </c>
      <c r="I79" s="2" t="s">
        <v>737</v>
      </c>
      <c r="J79" s="2" t="s">
        <v>736</v>
      </c>
      <c r="K79" s="2">
        <v>3756.25</v>
      </c>
      <c r="L79" s="2">
        <v>95.87</v>
      </c>
      <c r="M79" s="2">
        <v>191.74</v>
      </c>
      <c r="N79" s="2">
        <v>5014</v>
      </c>
      <c r="O79" s="2">
        <v>5612</v>
      </c>
      <c r="P79" s="2">
        <f t="shared" si="3"/>
        <v>10626</v>
      </c>
      <c r="Q79" s="2" t="s">
        <v>735</v>
      </c>
      <c r="R79" s="2">
        <v>1</v>
      </c>
      <c r="S79" s="2">
        <v>1</v>
      </c>
      <c r="T79" s="2">
        <v>1</v>
      </c>
      <c r="U79" s="2">
        <v>0</v>
      </c>
      <c r="V79" s="2">
        <v>0</v>
      </c>
      <c r="W79" s="2">
        <v>8</v>
      </c>
      <c r="X79" s="2">
        <v>0</v>
      </c>
      <c r="Y79" s="2">
        <v>0</v>
      </c>
      <c r="Z79" s="2">
        <v>3</v>
      </c>
      <c r="AA79" s="2">
        <v>0</v>
      </c>
      <c r="AB79" s="2">
        <v>0</v>
      </c>
      <c r="AC79" s="2">
        <v>1</v>
      </c>
      <c r="AD79" s="2">
        <v>2</v>
      </c>
      <c r="AE79" s="2">
        <v>0</v>
      </c>
      <c r="AF79" s="2">
        <v>0</v>
      </c>
      <c r="AG79" s="2" t="s">
        <v>734</v>
      </c>
      <c r="AH79" s="2">
        <v>0</v>
      </c>
      <c r="AI79" s="2">
        <v>2</v>
      </c>
      <c r="AJ79" s="2">
        <v>2</v>
      </c>
      <c r="AK79" s="2">
        <v>0</v>
      </c>
      <c r="AL79" s="2">
        <v>2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3">
        <f>DATE(BE79, MATCH(TRIM(BD79), {"ENERO";"FEBRERO";"MARZO";"ABRIL";"MAYO";"JUNIO";"JULIO";"AGOSTO";"SEPTIEMBRE";"OCTUBRE";"NOVIEMBRE";"DICIEMBRE"}, 0), BC79)</f>
        <v>44658</v>
      </c>
      <c r="BC79" s="2">
        <v>7</v>
      </c>
      <c r="BD79" s="2" t="s">
        <v>93</v>
      </c>
      <c r="BE79" s="2">
        <v>2022</v>
      </c>
      <c r="BF79" s="2"/>
      <c r="BG79" s="2">
        <v>1</v>
      </c>
      <c r="BH79" s="2">
        <v>1</v>
      </c>
      <c r="BI79" s="2" t="s">
        <v>48</v>
      </c>
      <c r="BJ79" s="2" t="s">
        <v>0</v>
      </c>
      <c r="BK79" s="2"/>
      <c r="BL79" s="2"/>
    </row>
    <row r="80" spans="1:64" ht="18.75" x14ac:dyDescent="0.25">
      <c r="A80" s="2">
        <v>79</v>
      </c>
      <c r="B80" s="2" t="str">
        <f t="shared" si="2"/>
        <v>ADN-P-79</v>
      </c>
      <c r="C80" s="2" t="s">
        <v>19</v>
      </c>
      <c r="D80" s="2" t="s">
        <v>111</v>
      </c>
      <c r="E80" s="2" t="s">
        <v>733</v>
      </c>
      <c r="F80" s="2" t="s">
        <v>732</v>
      </c>
      <c r="G80" s="2" t="s">
        <v>731</v>
      </c>
      <c r="H80" s="2" t="s">
        <v>730</v>
      </c>
      <c r="I80" s="2" t="s">
        <v>729</v>
      </c>
      <c r="J80" s="2" t="s">
        <v>479</v>
      </c>
      <c r="K80" s="2">
        <v>786.68</v>
      </c>
      <c r="L80" s="2">
        <v>289.81</v>
      </c>
      <c r="M80" s="2">
        <v>579.62</v>
      </c>
      <c r="N80" s="2">
        <v>3663</v>
      </c>
      <c r="O80" s="2">
        <v>4458</v>
      </c>
      <c r="P80" s="2">
        <f t="shared" si="3"/>
        <v>8121</v>
      </c>
      <c r="Q80" s="2" t="s">
        <v>86</v>
      </c>
      <c r="R80" s="2">
        <v>2</v>
      </c>
      <c r="S80" s="2">
        <v>0</v>
      </c>
      <c r="T80" s="2">
        <v>0</v>
      </c>
      <c r="U80" s="2">
        <v>0</v>
      </c>
      <c r="V80" s="2">
        <v>0</v>
      </c>
      <c r="W80" s="2">
        <v>22</v>
      </c>
      <c r="X80" s="2">
        <v>4</v>
      </c>
      <c r="Y80" s="2">
        <v>0</v>
      </c>
      <c r="Z80" s="2">
        <v>2</v>
      </c>
      <c r="AA80" s="2">
        <v>0</v>
      </c>
      <c r="AB80" s="2">
        <v>0</v>
      </c>
      <c r="AC80" s="2">
        <v>0</v>
      </c>
      <c r="AD80" s="2">
        <v>0</v>
      </c>
      <c r="AE80" s="2">
        <v>30</v>
      </c>
      <c r="AF80" s="2">
        <v>30</v>
      </c>
      <c r="AG80" s="2" t="s">
        <v>728</v>
      </c>
      <c r="AH80" s="2">
        <v>2</v>
      </c>
      <c r="AI80" s="2">
        <v>0</v>
      </c>
      <c r="AJ80" s="2">
        <v>8</v>
      </c>
      <c r="AK80" s="2">
        <v>0</v>
      </c>
      <c r="AL80" s="2">
        <v>2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3">
        <f>DATE(BE80, MATCH(TRIM(BD80), {"ENERO";"FEBRERO";"MARZO";"ABRIL";"MAYO";"JUNIO";"JULIO";"AGOSTO";"SEPTIEMBRE";"OCTUBRE";"NOVIEMBRE";"DICIEMBRE"}, 0), BC80)</f>
        <v>44658</v>
      </c>
      <c r="BC80" s="2">
        <v>7</v>
      </c>
      <c r="BD80" s="2" t="s">
        <v>93</v>
      </c>
      <c r="BE80" s="2">
        <v>2022</v>
      </c>
      <c r="BF80" s="2"/>
      <c r="BG80" s="2">
        <v>1</v>
      </c>
      <c r="BH80" s="2">
        <v>1</v>
      </c>
      <c r="BI80" s="2" t="s">
        <v>143</v>
      </c>
      <c r="BJ80" s="2" t="s">
        <v>0</v>
      </c>
      <c r="BK80" s="2"/>
      <c r="BL80" s="2"/>
    </row>
    <row r="81" spans="1:64" ht="18.75" x14ac:dyDescent="0.25">
      <c r="A81" s="2">
        <v>80</v>
      </c>
      <c r="B81" s="2" t="str">
        <f t="shared" si="2"/>
        <v>ADN-P-80</v>
      </c>
      <c r="C81" s="2" t="s">
        <v>9</v>
      </c>
      <c r="D81" s="2" t="s">
        <v>32</v>
      </c>
      <c r="E81" s="2" t="s">
        <v>727</v>
      </c>
      <c r="F81" s="2" t="s">
        <v>726</v>
      </c>
      <c r="G81" s="2" t="s">
        <v>725</v>
      </c>
      <c r="H81" s="2" t="s">
        <v>724</v>
      </c>
      <c r="I81" s="2" t="s">
        <v>723</v>
      </c>
      <c r="J81" s="2" t="s">
        <v>722</v>
      </c>
      <c r="K81" s="2">
        <v>3000</v>
      </c>
      <c r="L81" s="2">
        <v>316.19</v>
      </c>
      <c r="M81" s="2">
        <v>632.38</v>
      </c>
      <c r="N81" s="2">
        <v>24591</v>
      </c>
      <c r="O81" s="2">
        <v>26673</v>
      </c>
      <c r="P81" s="2">
        <f t="shared" si="3"/>
        <v>51264</v>
      </c>
      <c r="Q81" s="2" t="s">
        <v>86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2">
        <v>24</v>
      </c>
      <c r="X81" s="2">
        <v>20</v>
      </c>
      <c r="Y81" s="2">
        <v>0</v>
      </c>
      <c r="Z81" s="2">
        <v>6</v>
      </c>
      <c r="AA81" s="2">
        <v>0</v>
      </c>
      <c r="AB81" s="2">
        <v>0</v>
      </c>
      <c r="AC81" s="2">
        <v>0</v>
      </c>
      <c r="AD81" s="2">
        <v>0</v>
      </c>
      <c r="AE81" s="2">
        <v>73</v>
      </c>
      <c r="AF81" s="2">
        <v>73</v>
      </c>
      <c r="AG81" s="2">
        <v>730.3</v>
      </c>
      <c r="AH81" s="2">
        <v>0</v>
      </c>
      <c r="AI81" s="2">
        <v>0</v>
      </c>
      <c r="AJ81" s="2">
        <v>0</v>
      </c>
      <c r="AK81" s="2">
        <v>1</v>
      </c>
      <c r="AL81" s="2">
        <v>1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3">
        <f>DATE(BE81, MATCH(TRIM(BD81), {"ENERO";"FEBRERO";"MARZO";"ABRIL";"MAYO";"JUNIO";"JULIO";"AGOSTO";"SEPTIEMBRE";"OCTUBRE";"NOVIEMBRE";"DICIEMBRE"}, 0), BC81)</f>
        <v>44674</v>
      </c>
      <c r="BC81" s="2">
        <v>23</v>
      </c>
      <c r="BD81" s="2" t="s">
        <v>93</v>
      </c>
      <c r="BE81" s="2">
        <v>2022</v>
      </c>
      <c r="BF81" s="2"/>
      <c r="BG81" s="2">
        <v>2</v>
      </c>
      <c r="BH81" s="2">
        <v>1</v>
      </c>
      <c r="BI81" s="2" t="s">
        <v>1</v>
      </c>
      <c r="BJ81" s="2" t="s">
        <v>0</v>
      </c>
      <c r="BK81" s="2"/>
      <c r="BL81" s="2"/>
    </row>
    <row r="82" spans="1:64" ht="18.75" x14ac:dyDescent="0.25">
      <c r="A82" s="2">
        <v>81</v>
      </c>
      <c r="B82" s="2" t="str">
        <f t="shared" si="2"/>
        <v>ADN-P-81</v>
      </c>
      <c r="C82" s="2" t="s">
        <v>19</v>
      </c>
      <c r="D82" s="2" t="s">
        <v>18</v>
      </c>
      <c r="E82" s="2" t="s">
        <v>721</v>
      </c>
      <c r="F82" s="2" t="s">
        <v>720</v>
      </c>
      <c r="G82" s="2" t="s">
        <v>719</v>
      </c>
      <c r="H82" s="2" t="s">
        <v>718</v>
      </c>
      <c r="I82" s="2" t="s">
        <v>717</v>
      </c>
      <c r="J82" s="2" t="s">
        <v>716</v>
      </c>
      <c r="K82" s="2">
        <v>1200</v>
      </c>
      <c r="L82" s="2">
        <v>219.2</v>
      </c>
      <c r="M82" s="2">
        <v>438.4</v>
      </c>
      <c r="N82" s="2">
        <v>17748</v>
      </c>
      <c r="O82" s="2">
        <v>20409</v>
      </c>
      <c r="P82" s="2">
        <f t="shared" si="3"/>
        <v>38157</v>
      </c>
      <c r="Q82" s="2" t="s">
        <v>86</v>
      </c>
      <c r="R82" s="2">
        <v>1</v>
      </c>
      <c r="S82" s="2">
        <v>4</v>
      </c>
      <c r="T82" s="2">
        <v>2</v>
      </c>
      <c r="U82" s="2">
        <v>0</v>
      </c>
      <c r="V82" s="2">
        <v>0</v>
      </c>
      <c r="W82" s="2">
        <v>8</v>
      </c>
      <c r="X82" s="2">
        <v>3</v>
      </c>
      <c r="Y82" s="2">
        <v>0</v>
      </c>
      <c r="Z82" s="2">
        <v>7</v>
      </c>
      <c r="AA82" s="2">
        <v>0</v>
      </c>
      <c r="AB82" s="2">
        <v>0</v>
      </c>
      <c r="AC82" s="2">
        <v>2</v>
      </c>
      <c r="AD82" s="2">
        <v>1</v>
      </c>
      <c r="AE82" s="2">
        <v>27</v>
      </c>
      <c r="AF82" s="2">
        <v>27</v>
      </c>
      <c r="AG82" s="2"/>
      <c r="AH82" s="2">
        <v>0</v>
      </c>
      <c r="AI82" s="2">
        <v>25</v>
      </c>
      <c r="AJ82" s="2">
        <v>1</v>
      </c>
      <c r="AK82" s="2">
        <v>0</v>
      </c>
      <c r="AL82" s="2">
        <v>0</v>
      </c>
      <c r="AM82" s="2">
        <v>1</v>
      </c>
      <c r="AN82" s="2">
        <v>1</v>
      </c>
      <c r="AO82" s="2">
        <v>0</v>
      </c>
      <c r="AP82" s="2">
        <v>0</v>
      </c>
      <c r="AQ82" s="2">
        <v>2</v>
      </c>
      <c r="AR82" s="2">
        <v>0</v>
      </c>
      <c r="AS82" s="2">
        <v>1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3">
        <f>DATE(BE82, MATCH(TRIM(BD82), {"ENERO";"FEBRERO";"MARZO";"ABRIL";"MAYO";"JUNIO";"JULIO";"AGOSTO";"SEPTIEMBRE";"OCTUBRE";"NOVIEMBRE";"DICIEMBRE"}, 0), BC82)</f>
        <v>44679</v>
      </c>
      <c r="BC82" s="2">
        <v>28</v>
      </c>
      <c r="BD82" s="2" t="s">
        <v>93</v>
      </c>
      <c r="BE82" s="2">
        <v>2022</v>
      </c>
      <c r="BF82" s="2"/>
      <c r="BG82" s="2">
        <v>1</v>
      </c>
      <c r="BH82" s="2">
        <v>1</v>
      </c>
      <c r="BI82" s="2" t="s">
        <v>143</v>
      </c>
      <c r="BJ82" s="2" t="s">
        <v>0</v>
      </c>
      <c r="BK82" s="2"/>
      <c r="BL82" s="2"/>
    </row>
    <row r="83" spans="1:64" ht="18.75" x14ac:dyDescent="0.25">
      <c r="A83" s="2">
        <v>82</v>
      </c>
      <c r="B83" s="2" t="str">
        <f t="shared" si="2"/>
        <v>ADN-P-82</v>
      </c>
      <c r="C83" s="2" t="s">
        <v>9</v>
      </c>
      <c r="D83" s="2" t="s">
        <v>78</v>
      </c>
      <c r="E83" s="2" t="s">
        <v>715</v>
      </c>
      <c r="F83" s="2" t="s">
        <v>714</v>
      </c>
      <c r="G83" s="2" t="s">
        <v>713</v>
      </c>
      <c r="H83" s="2" t="s">
        <v>712</v>
      </c>
      <c r="I83" s="2" t="s">
        <v>711</v>
      </c>
      <c r="J83" s="2" t="s">
        <v>454</v>
      </c>
      <c r="K83" s="2">
        <v>879</v>
      </c>
      <c r="L83" s="2">
        <v>85.35</v>
      </c>
      <c r="M83" s="2">
        <v>170.7</v>
      </c>
      <c r="N83" s="2">
        <v>6295</v>
      </c>
      <c r="O83" s="2">
        <v>7445</v>
      </c>
      <c r="P83" s="2">
        <f t="shared" si="3"/>
        <v>13740</v>
      </c>
      <c r="Q83" s="2" t="s">
        <v>86</v>
      </c>
      <c r="R83" s="2">
        <v>1</v>
      </c>
      <c r="S83" s="2">
        <v>1</v>
      </c>
      <c r="T83" s="2">
        <v>1</v>
      </c>
      <c r="U83" s="2">
        <v>0</v>
      </c>
      <c r="V83" s="2">
        <v>0</v>
      </c>
      <c r="W83" s="2">
        <v>8</v>
      </c>
      <c r="X83" s="2">
        <v>3</v>
      </c>
      <c r="Y83" s="2">
        <v>0</v>
      </c>
      <c r="Z83" s="2">
        <v>1</v>
      </c>
      <c r="AA83" s="2">
        <v>0</v>
      </c>
      <c r="AB83" s="2">
        <v>5</v>
      </c>
      <c r="AC83" s="2">
        <v>0</v>
      </c>
      <c r="AD83" s="2">
        <v>0</v>
      </c>
      <c r="AE83" s="2">
        <v>14</v>
      </c>
      <c r="AF83" s="2">
        <v>14</v>
      </c>
      <c r="AG83" s="2">
        <v>65.23</v>
      </c>
      <c r="AH83" s="2">
        <v>0</v>
      </c>
      <c r="AI83" s="2">
        <v>0</v>
      </c>
      <c r="AJ83" s="2">
        <v>8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3">
        <f>DATE(BE83, MATCH(TRIM(BD83), {"ENERO";"FEBRERO";"MARZO";"ABRIL";"MAYO";"JUNIO";"JULIO";"AGOSTO";"SEPTIEMBRE";"OCTUBRE";"NOVIEMBRE";"DICIEMBRE"}, 0), BC83)</f>
        <v>44656</v>
      </c>
      <c r="BC83" s="2">
        <v>5</v>
      </c>
      <c r="BD83" s="2" t="s">
        <v>93</v>
      </c>
      <c r="BE83" s="2">
        <v>2022</v>
      </c>
      <c r="BF83" s="2"/>
      <c r="BG83" s="2">
        <v>2</v>
      </c>
      <c r="BH83" s="2">
        <v>1</v>
      </c>
      <c r="BI83" s="2" t="s">
        <v>1</v>
      </c>
      <c r="BJ83" s="2" t="s">
        <v>0</v>
      </c>
      <c r="BK83" s="2"/>
      <c r="BL83" s="2"/>
    </row>
    <row r="84" spans="1:64" ht="18.75" x14ac:dyDescent="0.25">
      <c r="A84" s="2">
        <v>83</v>
      </c>
      <c r="B84" s="2" t="str">
        <f t="shared" si="2"/>
        <v>ADN-P-83</v>
      </c>
      <c r="C84" s="2" t="s">
        <v>19</v>
      </c>
      <c r="D84" s="2" t="s">
        <v>47</v>
      </c>
      <c r="E84" s="2" t="s">
        <v>710</v>
      </c>
      <c r="F84" s="2" t="s">
        <v>265</v>
      </c>
      <c r="G84" s="2" t="s">
        <v>709</v>
      </c>
      <c r="H84" s="2" t="s">
        <v>708</v>
      </c>
      <c r="I84" s="2" t="s">
        <v>707</v>
      </c>
      <c r="J84" s="2" t="s">
        <v>706</v>
      </c>
      <c r="K84" s="2">
        <v>913</v>
      </c>
      <c r="L84" s="2">
        <v>92.29</v>
      </c>
      <c r="M84" s="2">
        <v>184.58</v>
      </c>
      <c r="N84" s="2">
        <v>2347</v>
      </c>
      <c r="O84" s="2">
        <v>2904</v>
      </c>
      <c r="P84" s="2">
        <f t="shared" si="3"/>
        <v>5251</v>
      </c>
      <c r="Q84" s="2" t="s">
        <v>86</v>
      </c>
      <c r="R84" s="2">
        <v>1</v>
      </c>
      <c r="S84" s="2">
        <v>0</v>
      </c>
      <c r="T84" s="2">
        <v>4</v>
      </c>
      <c r="U84" s="2">
        <v>0</v>
      </c>
      <c r="V84" s="2">
        <v>0</v>
      </c>
      <c r="W84" s="2">
        <v>10</v>
      </c>
      <c r="X84" s="2">
        <v>6</v>
      </c>
      <c r="Y84" s="2">
        <v>0</v>
      </c>
      <c r="Z84" s="2">
        <v>3</v>
      </c>
      <c r="AA84" s="2">
        <v>0</v>
      </c>
      <c r="AB84" s="2">
        <v>0</v>
      </c>
      <c r="AC84" s="2">
        <v>0</v>
      </c>
      <c r="AD84" s="2">
        <v>0</v>
      </c>
      <c r="AE84" s="2">
        <v>20</v>
      </c>
      <c r="AF84" s="2">
        <v>20</v>
      </c>
      <c r="AG84" s="2" t="s">
        <v>705</v>
      </c>
      <c r="AH84" s="2">
        <v>0</v>
      </c>
      <c r="AI84" s="2">
        <v>0</v>
      </c>
      <c r="AJ84" s="2">
        <v>10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3">
        <f>DATE(BE84, MATCH(TRIM(BD84), {"ENERO";"FEBRERO";"MARZO";"ABRIL";"MAYO";"JUNIO";"JULIO";"AGOSTO";"SEPTIEMBRE";"OCTUBRE";"NOVIEMBRE";"DICIEMBRE"}, 0), BC84)</f>
        <v>44694</v>
      </c>
      <c r="BC84" s="2">
        <v>13</v>
      </c>
      <c r="BD84" s="2" t="s">
        <v>79</v>
      </c>
      <c r="BE84" s="2">
        <v>2022</v>
      </c>
      <c r="BF84" s="2"/>
      <c r="BG84" s="2">
        <v>1</v>
      </c>
      <c r="BH84" s="2">
        <v>1</v>
      </c>
      <c r="BI84" s="2" t="s">
        <v>143</v>
      </c>
      <c r="BJ84" s="2" t="s">
        <v>0</v>
      </c>
      <c r="BK84" s="2"/>
      <c r="BL84" s="2"/>
    </row>
    <row r="85" spans="1:64" ht="18.75" x14ac:dyDescent="0.25">
      <c r="A85" s="2">
        <v>84</v>
      </c>
      <c r="B85" s="2" t="str">
        <f t="shared" si="2"/>
        <v>ADN-P-84</v>
      </c>
      <c r="C85" s="2" t="s">
        <v>19</v>
      </c>
      <c r="D85" s="2" t="s">
        <v>47</v>
      </c>
      <c r="E85" s="2" t="s">
        <v>704</v>
      </c>
      <c r="F85" s="2" t="s">
        <v>703</v>
      </c>
      <c r="G85" s="2" t="s">
        <v>702</v>
      </c>
      <c r="H85" s="2" t="s">
        <v>701</v>
      </c>
      <c r="I85" s="2" t="s">
        <v>700</v>
      </c>
      <c r="J85" s="2" t="s">
        <v>59</v>
      </c>
      <c r="K85" s="2">
        <v>30</v>
      </c>
      <c r="L85" s="2">
        <v>9.23</v>
      </c>
      <c r="M85" s="2">
        <v>18.46</v>
      </c>
      <c r="N85" s="2">
        <v>3190</v>
      </c>
      <c r="O85" s="2">
        <v>3858</v>
      </c>
      <c r="P85" s="2">
        <f t="shared" si="3"/>
        <v>7048</v>
      </c>
      <c r="Q85" s="2" t="s">
        <v>58</v>
      </c>
      <c r="R85" s="2">
        <v>1</v>
      </c>
      <c r="S85" s="2">
        <v>0</v>
      </c>
      <c r="T85" s="2">
        <v>1</v>
      </c>
      <c r="U85" s="2">
        <v>0</v>
      </c>
      <c r="V85" s="2">
        <v>0</v>
      </c>
      <c r="W85" s="2">
        <v>1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1</v>
      </c>
      <c r="AF85" s="2">
        <v>1</v>
      </c>
      <c r="AG85" s="2"/>
      <c r="AH85" s="2">
        <v>0</v>
      </c>
      <c r="AI85" s="2">
        <v>0</v>
      </c>
      <c r="AJ85" s="2"/>
      <c r="AK85" s="2"/>
      <c r="AL85" s="2"/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3">
        <f>DATE(BE85, MATCH(TRIM(BD85), {"ENERO";"FEBRERO";"MARZO";"ABRIL";"MAYO";"JUNIO";"JULIO";"AGOSTO";"SEPTIEMBRE";"OCTUBRE";"NOVIEMBRE";"DICIEMBRE"}, 0), BC85)</f>
        <v>44697</v>
      </c>
      <c r="BC85" s="2">
        <v>16</v>
      </c>
      <c r="BD85" s="2" t="s">
        <v>79</v>
      </c>
      <c r="BE85" s="2">
        <v>2022</v>
      </c>
      <c r="BF85" s="2"/>
      <c r="BG85" s="2">
        <v>1</v>
      </c>
      <c r="BH85" s="2">
        <v>2</v>
      </c>
      <c r="BI85" s="2" t="s">
        <v>1</v>
      </c>
      <c r="BJ85" s="2" t="s">
        <v>0</v>
      </c>
      <c r="BK85" s="2"/>
      <c r="BL85" s="2"/>
    </row>
    <row r="86" spans="1:64" ht="18.75" x14ac:dyDescent="0.25">
      <c r="A86" s="2">
        <v>85</v>
      </c>
      <c r="B86" s="2" t="str">
        <f t="shared" si="2"/>
        <v>ADN-P-85</v>
      </c>
      <c r="C86" s="2" t="s">
        <v>9</v>
      </c>
      <c r="D86" s="2" t="s">
        <v>78</v>
      </c>
      <c r="E86" s="2" t="s">
        <v>699</v>
      </c>
      <c r="F86" s="2" t="s">
        <v>698</v>
      </c>
      <c r="G86" s="2" t="s">
        <v>697</v>
      </c>
      <c r="H86" s="2" t="s">
        <v>696</v>
      </c>
      <c r="I86" s="2" t="s">
        <v>695</v>
      </c>
      <c r="J86" s="2" t="s">
        <v>297</v>
      </c>
      <c r="K86" s="2">
        <v>132.75</v>
      </c>
      <c r="L86" s="2">
        <v>17.13</v>
      </c>
      <c r="M86" s="2">
        <v>34.26</v>
      </c>
      <c r="N86" s="2">
        <v>27448</v>
      </c>
      <c r="O86" s="2">
        <v>29158</v>
      </c>
      <c r="P86" s="2">
        <f t="shared" si="3"/>
        <v>56606</v>
      </c>
      <c r="Q86" s="2" t="s">
        <v>86</v>
      </c>
      <c r="R86" s="2">
        <v>0</v>
      </c>
      <c r="S86" s="2">
        <v>1</v>
      </c>
      <c r="T86" s="2">
        <v>1</v>
      </c>
      <c r="U86" s="2">
        <v>1</v>
      </c>
      <c r="V86" s="2">
        <v>0</v>
      </c>
      <c r="W86" s="2">
        <v>0</v>
      </c>
      <c r="X86" s="2">
        <v>16</v>
      </c>
      <c r="Y86" s="2">
        <v>0</v>
      </c>
      <c r="Z86" s="2">
        <v>2</v>
      </c>
      <c r="AA86" s="2">
        <v>7</v>
      </c>
      <c r="AB86" s="2">
        <v>0</v>
      </c>
      <c r="AC86" s="2">
        <v>0</v>
      </c>
      <c r="AD86" s="2">
        <v>0</v>
      </c>
      <c r="AE86" s="2">
        <v>21</v>
      </c>
      <c r="AF86" s="2">
        <v>21</v>
      </c>
      <c r="AG86" s="2">
        <v>0</v>
      </c>
      <c r="AH86" s="2">
        <v>0</v>
      </c>
      <c r="AI86" s="2">
        <v>9</v>
      </c>
      <c r="AJ86" s="2">
        <v>0</v>
      </c>
      <c r="AK86" s="2">
        <v>0</v>
      </c>
      <c r="AL86" s="2">
        <v>0</v>
      </c>
      <c r="AM86" s="2">
        <v>1</v>
      </c>
      <c r="AN86" s="2">
        <v>0</v>
      </c>
      <c r="AO86" s="2">
        <v>0</v>
      </c>
      <c r="AP86" s="2">
        <v>0</v>
      </c>
      <c r="AQ86" s="2">
        <v>2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3">
        <f>DATE(BE86, MATCH(TRIM(BD86), {"ENERO";"FEBRERO";"MARZO";"ABRIL";"MAYO";"JUNIO";"JULIO";"AGOSTO";"SEPTIEMBRE";"OCTUBRE";"NOVIEMBRE";"DICIEMBRE"}, 0), BC86)</f>
        <v>44705</v>
      </c>
      <c r="BC86" s="2">
        <v>24</v>
      </c>
      <c r="BD86" s="2" t="s">
        <v>79</v>
      </c>
      <c r="BE86" s="2">
        <v>2022</v>
      </c>
      <c r="BF86" s="2"/>
      <c r="BG86" s="2">
        <v>2</v>
      </c>
      <c r="BH86" s="2">
        <v>1</v>
      </c>
      <c r="BI86" s="2" t="s">
        <v>143</v>
      </c>
      <c r="BJ86" s="2" t="s">
        <v>0</v>
      </c>
      <c r="BK86" s="2"/>
      <c r="BL86" s="2"/>
    </row>
    <row r="87" spans="1:64" ht="18.75" x14ac:dyDescent="0.25">
      <c r="A87" s="2">
        <v>86</v>
      </c>
      <c r="B87" s="2" t="str">
        <f t="shared" si="2"/>
        <v>ADN-P-86</v>
      </c>
      <c r="C87" s="2" t="s">
        <v>19</v>
      </c>
      <c r="D87" s="2" t="s">
        <v>18</v>
      </c>
      <c r="E87" s="2" t="s">
        <v>694</v>
      </c>
      <c r="F87" s="2" t="s">
        <v>693</v>
      </c>
      <c r="G87" s="2" t="s">
        <v>692</v>
      </c>
      <c r="H87" s="2" t="s">
        <v>691</v>
      </c>
      <c r="I87" s="2" t="s">
        <v>690</v>
      </c>
      <c r="J87" s="2" t="s">
        <v>689</v>
      </c>
      <c r="K87" s="2">
        <v>2328</v>
      </c>
      <c r="L87" s="2">
        <v>135.96</v>
      </c>
      <c r="M87" s="2">
        <v>271.92</v>
      </c>
      <c r="N87" s="2">
        <v>4767</v>
      </c>
      <c r="O87" s="2">
        <v>5532</v>
      </c>
      <c r="P87" s="2">
        <f t="shared" si="3"/>
        <v>10299</v>
      </c>
      <c r="Q87" s="2" t="s">
        <v>86</v>
      </c>
      <c r="R87" s="2">
        <v>0</v>
      </c>
      <c r="S87" s="2">
        <v>0</v>
      </c>
      <c r="T87" s="2">
        <v>5</v>
      </c>
      <c r="U87" s="2">
        <v>1</v>
      </c>
      <c r="V87" s="2">
        <v>0</v>
      </c>
      <c r="W87" s="2">
        <v>32</v>
      </c>
      <c r="X87" s="2">
        <v>24</v>
      </c>
      <c r="Y87" s="2">
        <v>0</v>
      </c>
      <c r="Z87" s="2">
        <v>9</v>
      </c>
      <c r="AA87" s="2">
        <v>8</v>
      </c>
      <c r="AB87" s="2">
        <v>0</v>
      </c>
      <c r="AC87" s="2">
        <v>2</v>
      </c>
      <c r="AD87" s="2">
        <v>1</v>
      </c>
      <c r="AE87" s="2">
        <v>25</v>
      </c>
      <c r="AF87" s="2">
        <v>25</v>
      </c>
      <c r="AG87" s="2">
        <v>190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2</v>
      </c>
      <c r="AR87" s="2">
        <v>0</v>
      </c>
      <c r="AS87" s="2">
        <v>1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3">
        <f>DATE(BE87, MATCH(TRIM(BD87), {"ENERO";"FEBRERO";"MARZO";"ABRIL";"MAYO";"JUNIO";"JULIO";"AGOSTO";"SEPTIEMBRE";"OCTUBRE";"NOVIEMBRE";"DICIEMBRE"}, 0), BC87)</f>
        <v>44661</v>
      </c>
      <c r="BC87" s="2">
        <v>10</v>
      </c>
      <c r="BD87" s="2" t="s">
        <v>93</v>
      </c>
      <c r="BE87" s="2">
        <v>2022</v>
      </c>
      <c r="BF87" s="2"/>
      <c r="BG87" s="2">
        <v>1</v>
      </c>
      <c r="BH87" s="2">
        <v>1</v>
      </c>
      <c r="BI87" s="2" t="s">
        <v>143</v>
      </c>
      <c r="BJ87" s="2" t="s">
        <v>0</v>
      </c>
      <c r="BK87" s="2"/>
      <c r="BL87" s="2"/>
    </row>
    <row r="88" spans="1:64" ht="18.75" x14ac:dyDescent="0.25">
      <c r="A88" s="2">
        <v>87</v>
      </c>
      <c r="B88" s="2" t="str">
        <f t="shared" si="2"/>
        <v>ADN-P-87</v>
      </c>
      <c r="C88" s="2" t="s">
        <v>19</v>
      </c>
      <c r="D88" s="2" t="s">
        <v>221</v>
      </c>
      <c r="E88" s="2" t="s">
        <v>688</v>
      </c>
      <c r="F88" s="2" t="s">
        <v>687</v>
      </c>
      <c r="G88" s="2" t="s">
        <v>686</v>
      </c>
      <c r="H88" s="2" t="s">
        <v>685</v>
      </c>
      <c r="I88" s="2" t="s">
        <v>684</v>
      </c>
      <c r="J88" s="2" t="s">
        <v>683</v>
      </c>
      <c r="K88" s="2">
        <v>280</v>
      </c>
      <c r="L88" s="2">
        <v>67.2</v>
      </c>
      <c r="M88" s="2">
        <v>134.4</v>
      </c>
      <c r="N88" s="2">
        <v>1419</v>
      </c>
      <c r="O88" s="2">
        <v>1553</v>
      </c>
      <c r="P88" s="2">
        <f t="shared" si="3"/>
        <v>2972</v>
      </c>
      <c r="Q88" s="2" t="s">
        <v>682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5</v>
      </c>
      <c r="AJ88" s="2">
        <v>2</v>
      </c>
      <c r="AK88" s="2">
        <v>1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3">
        <f>DATE(BE88, MATCH(TRIM(BD88), {"ENERO";"FEBRERO";"MARZO";"ABRIL";"MAYO";"JUNIO";"JULIO";"AGOSTO";"SEPTIEMBRE";"OCTUBRE";"NOVIEMBRE";"DICIEMBRE"}, 0), BC88)</f>
        <v>44734</v>
      </c>
      <c r="BC88" s="2">
        <v>22</v>
      </c>
      <c r="BD88" s="2" t="s">
        <v>71</v>
      </c>
      <c r="BE88" s="2">
        <v>2022</v>
      </c>
      <c r="BF88" s="2"/>
      <c r="BG88" s="2">
        <v>1</v>
      </c>
      <c r="BH88" s="2">
        <v>1</v>
      </c>
      <c r="BI88" s="2" t="s">
        <v>143</v>
      </c>
      <c r="BJ88" s="2" t="s">
        <v>0</v>
      </c>
      <c r="BK88" s="2"/>
      <c r="BL88" s="2"/>
    </row>
    <row r="89" spans="1:64" ht="18.75" x14ac:dyDescent="0.25">
      <c r="A89" s="2">
        <v>88</v>
      </c>
      <c r="B89" s="2" t="str">
        <f t="shared" si="2"/>
        <v>ADN-P-88</v>
      </c>
      <c r="C89" s="2" t="s">
        <v>19</v>
      </c>
      <c r="D89" s="2" t="s">
        <v>47</v>
      </c>
      <c r="E89" s="2" t="s">
        <v>681</v>
      </c>
      <c r="F89" s="2" t="s">
        <v>680</v>
      </c>
      <c r="G89" s="2" t="s">
        <v>679</v>
      </c>
      <c r="H89" s="2" t="s">
        <v>678</v>
      </c>
      <c r="I89" s="2" t="s">
        <v>677</v>
      </c>
      <c r="J89" s="2" t="s">
        <v>239</v>
      </c>
      <c r="K89" s="2">
        <v>310</v>
      </c>
      <c r="L89" s="2">
        <v>54.63</v>
      </c>
      <c r="M89" s="2">
        <v>109.26</v>
      </c>
      <c r="N89" s="2">
        <v>3275</v>
      </c>
      <c r="O89" s="2">
        <v>3832</v>
      </c>
      <c r="P89" s="2">
        <f t="shared" si="3"/>
        <v>7107</v>
      </c>
      <c r="Q89" s="2" t="s">
        <v>86</v>
      </c>
      <c r="R89" s="2">
        <v>1</v>
      </c>
      <c r="S89" s="2">
        <v>0</v>
      </c>
      <c r="T89" s="2">
        <v>1</v>
      </c>
      <c r="U89" s="2">
        <v>1</v>
      </c>
      <c r="V89" s="2">
        <v>0</v>
      </c>
      <c r="W89" s="2">
        <v>11</v>
      </c>
      <c r="X89" s="2">
        <v>4</v>
      </c>
      <c r="Y89" s="2">
        <v>0</v>
      </c>
      <c r="Z89" s="2">
        <v>2</v>
      </c>
      <c r="AA89" s="2">
        <v>3</v>
      </c>
      <c r="AB89" s="2">
        <v>0</v>
      </c>
      <c r="AC89" s="2">
        <v>0</v>
      </c>
      <c r="AD89" s="2">
        <v>0</v>
      </c>
      <c r="AE89" s="2">
        <v>2</v>
      </c>
      <c r="AF89" s="2">
        <v>5</v>
      </c>
      <c r="AG89" s="2" t="s">
        <v>676</v>
      </c>
      <c r="AH89" s="2">
        <v>0</v>
      </c>
      <c r="AI89" s="2">
        <v>0</v>
      </c>
      <c r="AJ89" s="2">
        <v>7</v>
      </c>
      <c r="AK89" s="2">
        <v>0</v>
      </c>
      <c r="AL89" s="2">
        <v>2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3">
        <f>DATE(BE89, MATCH(TRIM(BD89), {"ENERO";"FEBRERO";"MARZO";"ABRIL";"MAYO";"JUNIO";"JULIO";"AGOSTO";"SEPTIEMBRE";"OCTUBRE";"NOVIEMBRE";"DICIEMBRE"}, 0), BC89)</f>
        <v>44748</v>
      </c>
      <c r="BC89" s="2">
        <v>6</v>
      </c>
      <c r="BD89" s="2" t="s">
        <v>57</v>
      </c>
      <c r="BE89" s="2">
        <v>2022</v>
      </c>
      <c r="BF89" s="2"/>
      <c r="BG89" s="2">
        <v>1</v>
      </c>
      <c r="BH89" s="2">
        <v>1</v>
      </c>
      <c r="BI89" s="2" t="s">
        <v>143</v>
      </c>
      <c r="BJ89" s="2" t="s">
        <v>0</v>
      </c>
      <c r="BK89" s="2"/>
      <c r="BL89" s="2"/>
    </row>
    <row r="90" spans="1:64" ht="18.75" x14ac:dyDescent="0.25">
      <c r="A90" s="2">
        <v>89</v>
      </c>
      <c r="B90" s="2" t="str">
        <f t="shared" si="2"/>
        <v>ADN-P-89</v>
      </c>
      <c r="C90" s="2" t="s">
        <v>19</v>
      </c>
      <c r="D90" s="2" t="s">
        <v>47</v>
      </c>
      <c r="E90" s="2" t="s">
        <v>675</v>
      </c>
      <c r="F90" s="2" t="s">
        <v>674</v>
      </c>
      <c r="G90" s="2" t="s">
        <v>673</v>
      </c>
      <c r="H90" s="2" t="s">
        <v>672</v>
      </c>
      <c r="I90" s="2" t="s">
        <v>671</v>
      </c>
      <c r="J90" s="2" t="s">
        <v>179</v>
      </c>
      <c r="K90" s="2">
        <v>354.62</v>
      </c>
      <c r="L90" s="2">
        <v>30.41</v>
      </c>
      <c r="M90" s="2">
        <v>60.82</v>
      </c>
      <c r="N90" s="2">
        <v>13131</v>
      </c>
      <c r="O90" s="2">
        <v>15438</v>
      </c>
      <c r="P90" s="2">
        <f t="shared" si="3"/>
        <v>28569</v>
      </c>
      <c r="Q90" s="2" t="s">
        <v>192</v>
      </c>
      <c r="R90" s="2">
        <v>1</v>
      </c>
      <c r="S90" s="2">
        <v>0</v>
      </c>
      <c r="T90" s="2">
        <v>1</v>
      </c>
      <c r="U90" s="2">
        <v>0</v>
      </c>
      <c r="V90" s="2">
        <v>0</v>
      </c>
      <c r="W90" s="2">
        <v>4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15</v>
      </c>
      <c r="AF90" s="2">
        <v>15</v>
      </c>
      <c r="AG90" s="2">
        <v>111.5</v>
      </c>
      <c r="AH90" s="2">
        <v>0</v>
      </c>
      <c r="AI90" s="2">
        <v>0</v>
      </c>
      <c r="AJ90" s="2">
        <v>0</v>
      </c>
      <c r="AK90" s="2">
        <v>0</v>
      </c>
      <c r="AL90" s="2">
        <v>2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3">
        <f>DATE(BE90, MATCH(TRIM(BD90), {"ENERO";"FEBRERO";"MARZO";"ABRIL";"MAYO";"JUNIO";"JULIO";"AGOSTO";"SEPTIEMBRE";"OCTUBRE";"NOVIEMBRE";"DICIEMBRE"}, 0), BC90)</f>
        <v>44748</v>
      </c>
      <c r="BC90" s="2">
        <v>6</v>
      </c>
      <c r="BD90" s="2" t="s">
        <v>57</v>
      </c>
      <c r="BE90" s="2">
        <v>2022</v>
      </c>
      <c r="BF90" s="2"/>
      <c r="BG90" s="2">
        <v>1</v>
      </c>
      <c r="BH90" s="2">
        <v>1</v>
      </c>
      <c r="BI90" s="2" t="s">
        <v>143</v>
      </c>
      <c r="BJ90" s="2" t="s">
        <v>0</v>
      </c>
      <c r="BK90" s="2"/>
      <c r="BL90" s="2"/>
    </row>
    <row r="91" spans="1:64" ht="18.75" x14ac:dyDescent="0.25">
      <c r="A91" s="2">
        <v>90</v>
      </c>
      <c r="B91" s="2" t="str">
        <f t="shared" si="2"/>
        <v>ADN-P-90</v>
      </c>
      <c r="C91" s="2" t="s">
        <v>19</v>
      </c>
      <c r="D91" s="2" t="s">
        <v>111</v>
      </c>
      <c r="E91" s="2" t="s">
        <v>670</v>
      </c>
      <c r="F91" s="2" t="s">
        <v>665</v>
      </c>
      <c r="G91" s="2" t="s">
        <v>669</v>
      </c>
      <c r="H91" s="2" t="s">
        <v>668</v>
      </c>
      <c r="I91" s="2" t="s">
        <v>667</v>
      </c>
      <c r="J91" s="2" t="s">
        <v>105</v>
      </c>
      <c r="K91" s="2">
        <v>3003.97</v>
      </c>
      <c r="L91" s="2">
        <v>428.53</v>
      </c>
      <c r="M91" s="2">
        <v>857.06</v>
      </c>
      <c r="N91" s="2">
        <v>2703</v>
      </c>
      <c r="O91" s="2">
        <v>3203</v>
      </c>
      <c r="P91" s="2">
        <f t="shared" si="3"/>
        <v>5906</v>
      </c>
      <c r="Q91" s="2" t="s">
        <v>660</v>
      </c>
      <c r="R91" s="2">
        <v>2</v>
      </c>
      <c r="S91" s="2">
        <v>0</v>
      </c>
      <c r="T91" s="2">
        <v>0</v>
      </c>
      <c r="U91" s="2">
        <v>0</v>
      </c>
      <c r="V91" s="2">
        <v>0</v>
      </c>
      <c r="W91" s="2">
        <v>24</v>
      </c>
      <c r="X91" s="2">
        <v>33</v>
      </c>
      <c r="Y91" s="2">
        <v>0</v>
      </c>
      <c r="Z91" s="2">
        <v>6</v>
      </c>
      <c r="AA91" s="2">
        <v>0</v>
      </c>
      <c r="AB91" s="2">
        <v>0</v>
      </c>
      <c r="AC91" s="2">
        <v>0</v>
      </c>
      <c r="AD91" s="2">
        <v>0</v>
      </c>
      <c r="AE91" s="2">
        <v>8</v>
      </c>
      <c r="AF91" s="2">
        <v>28</v>
      </c>
      <c r="AG91" s="2">
        <v>0</v>
      </c>
      <c r="AH91" s="2">
        <v>0</v>
      </c>
      <c r="AI91" s="2">
        <v>0</v>
      </c>
      <c r="AJ91" s="2">
        <v>6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3">
        <f>DATE(BE91, MATCH(TRIM(BD91), {"ENERO";"FEBRERO";"MARZO";"ABRIL";"MAYO";"JUNIO";"JULIO";"AGOSTO";"SEPTIEMBRE";"OCTUBRE";"NOVIEMBRE";"DICIEMBRE"}, 0), BC91)</f>
        <v>44752</v>
      </c>
      <c r="BC91" s="2">
        <v>10</v>
      </c>
      <c r="BD91" s="2" t="s">
        <v>57</v>
      </c>
      <c r="BE91" s="2">
        <v>2022</v>
      </c>
      <c r="BF91" s="2"/>
      <c r="BG91" s="2">
        <v>1</v>
      </c>
      <c r="BH91" s="2">
        <v>1</v>
      </c>
      <c r="BI91" s="2" t="s">
        <v>1</v>
      </c>
      <c r="BJ91" s="2" t="s">
        <v>0</v>
      </c>
      <c r="BK91" s="2"/>
      <c r="BL91" s="2"/>
    </row>
    <row r="92" spans="1:64" ht="18.75" x14ac:dyDescent="0.25">
      <c r="A92" s="2">
        <v>91</v>
      </c>
      <c r="B92" s="2" t="str">
        <f t="shared" si="2"/>
        <v>ADN-P-91</v>
      </c>
      <c r="C92" s="2" t="s">
        <v>19</v>
      </c>
      <c r="D92" s="2" t="s">
        <v>111</v>
      </c>
      <c r="E92" s="2" t="s">
        <v>666</v>
      </c>
      <c r="F92" s="2" t="s">
        <v>665</v>
      </c>
      <c r="G92" s="2" t="s">
        <v>664</v>
      </c>
      <c r="H92" s="2" t="s">
        <v>663</v>
      </c>
      <c r="I92" s="2" t="s">
        <v>662</v>
      </c>
      <c r="J92" s="2" t="s">
        <v>661</v>
      </c>
      <c r="K92" s="2">
        <v>1066.47</v>
      </c>
      <c r="L92" s="2">
        <v>514.28</v>
      </c>
      <c r="M92" s="2">
        <v>1028.56</v>
      </c>
      <c r="N92" s="2">
        <v>3190</v>
      </c>
      <c r="O92" s="2">
        <v>3858</v>
      </c>
      <c r="P92" s="2">
        <f t="shared" si="3"/>
        <v>7048</v>
      </c>
      <c r="Q92" s="2" t="s">
        <v>660</v>
      </c>
      <c r="R92" s="2">
        <v>0</v>
      </c>
      <c r="S92" s="2">
        <v>0</v>
      </c>
      <c r="T92" s="2">
        <v>1</v>
      </c>
      <c r="U92" s="2">
        <v>0</v>
      </c>
      <c r="V92" s="2">
        <v>0</v>
      </c>
      <c r="W92" s="2">
        <v>17</v>
      </c>
      <c r="X92" s="2">
        <v>11</v>
      </c>
      <c r="Y92" s="2">
        <v>0</v>
      </c>
      <c r="Z92" s="2">
        <v>3</v>
      </c>
      <c r="AA92" s="2">
        <v>0</v>
      </c>
      <c r="AB92" s="2">
        <v>0</v>
      </c>
      <c r="AC92" s="2">
        <v>1</v>
      </c>
      <c r="AD92" s="2">
        <v>1</v>
      </c>
      <c r="AE92" s="2">
        <v>34</v>
      </c>
      <c r="AF92" s="2">
        <v>34</v>
      </c>
      <c r="AG92" s="2">
        <v>179.3</v>
      </c>
      <c r="AH92" s="2">
        <v>0</v>
      </c>
      <c r="AI92" s="2">
        <v>0</v>
      </c>
      <c r="AJ92" s="2">
        <v>5</v>
      </c>
      <c r="AK92" s="2">
        <v>1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1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15</v>
      </c>
      <c r="BA92" s="2">
        <v>0</v>
      </c>
      <c r="BB92" s="3">
        <f>DATE(BE92, MATCH(TRIM(BD92), {"ENERO";"FEBRERO";"MARZO";"ABRIL";"MAYO";"JUNIO";"JULIO";"AGOSTO";"SEPTIEMBRE";"OCTUBRE";"NOVIEMBRE";"DICIEMBRE"}, 0), BC92)</f>
        <v>44752</v>
      </c>
      <c r="BC92" s="2">
        <v>10</v>
      </c>
      <c r="BD92" s="2" t="s">
        <v>57</v>
      </c>
      <c r="BE92" s="2">
        <v>2022</v>
      </c>
      <c r="BF92" s="2"/>
      <c r="BG92" s="2">
        <v>1</v>
      </c>
      <c r="BH92" s="2">
        <v>1</v>
      </c>
      <c r="BI92" s="2" t="s">
        <v>1</v>
      </c>
      <c r="BJ92" s="2" t="s">
        <v>0</v>
      </c>
      <c r="BK92" s="2"/>
      <c r="BL92" s="2"/>
    </row>
    <row r="93" spans="1:64" ht="18.75" x14ac:dyDescent="0.25">
      <c r="A93" s="2">
        <v>92</v>
      </c>
      <c r="B93" s="2" t="str">
        <f t="shared" si="2"/>
        <v>ADN-P-92</v>
      </c>
      <c r="C93" s="2" t="s">
        <v>19</v>
      </c>
      <c r="D93" s="2" t="s">
        <v>47</v>
      </c>
      <c r="E93" s="2" t="s">
        <v>659</v>
      </c>
      <c r="F93" s="2" t="s">
        <v>658</v>
      </c>
      <c r="G93" s="2" t="s">
        <v>657</v>
      </c>
      <c r="H93" s="2" t="s">
        <v>656</v>
      </c>
      <c r="I93" s="2" t="s">
        <v>655</v>
      </c>
      <c r="J93" s="2" t="s">
        <v>654</v>
      </c>
      <c r="K93" s="2">
        <v>740.98</v>
      </c>
      <c r="L93" s="2">
        <v>35.08</v>
      </c>
      <c r="M93" s="2">
        <v>70.16</v>
      </c>
      <c r="N93" s="2">
        <v>13131</v>
      </c>
      <c r="O93" s="2">
        <v>15438</v>
      </c>
      <c r="P93" s="2">
        <f t="shared" si="3"/>
        <v>28569</v>
      </c>
      <c r="Q93" s="2" t="s">
        <v>86</v>
      </c>
      <c r="R93" s="2">
        <v>1</v>
      </c>
      <c r="S93" s="2">
        <v>1</v>
      </c>
      <c r="T93" s="2">
        <v>0</v>
      </c>
      <c r="U93" s="2">
        <v>1</v>
      </c>
      <c r="V93" s="2">
        <v>0</v>
      </c>
      <c r="W93" s="2">
        <v>60</v>
      </c>
      <c r="X93" s="2">
        <v>30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13</v>
      </c>
      <c r="AF93" s="2">
        <v>13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3">
        <f>DATE(BE93, MATCH(TRIM(BD93), {"ENERO";"FEBRERO";"MARZO";"ABRIL";"MAYO";"JUNIO";"JULIO";"AGOSTO";"SEPTIEMBRE";"OCTUBRE";"NOVIEMBRE";"DICIEMBRE"}, 0), BC93)</f>
        <v>44755</v>
      </c>
      <c r="BC93" s="2">
        <v>13</v>
      </c>
      <c r="BD93" s="2" t="s">
        <v>57</v>
      </c>
      <c r="BE93" s="2">
        <v>2022</v>
      </c>
      <c r="BF93" s="2"/>
      <c r="BG93" s="2">
        <v>1</v>
      </c>
      <c r="BH93" s="2">
        <v>1</v>
      </c>
      <c r="BI93" s="2" t="s">
        <v>143</v>
      </c>
      <c r="BJ93" s="2" t="s">
        <v>0</v>
      </c>
      <c r="BK93" s="2"/>
      <c r="BL93" s="2"/>
    </row>
    <row r="94" spans="1:64" ht="18.75" x14ac:dyDescent="0.25">
      <c r="A94" s="2">
        <v>93</v>
      </c>
      <c r="B94" s="2" t="str">
        <f t="shared" si="2"/>
        <v>ADN-P-93</v>
      </c>
      <c r="C94" s="2" t="s">
        <v>19</v>
      </c>
      <c r="D94" s="2" t="s">
        <v>47</v>
      </c>
      <c r="E94" s="2" t="s">
        <v>653</v>
      </c>
      <c r="F94" s="2" t="s">
        <v>652</v>
      </c>
      <c r="G94" s="2" t="s">
        <v>651</v>
      </c>
      <c r="H94" s="2" t="s">
        <v>650</v>
      </c>
      <c r="I94" s="2" t="s">
        <v>649</v>
      </c>
      <c r="J94" s="2" t="s">
        <v>239</v>
      </c>
      <c r="K94" s="2">
        <v>1120.3399999999999</v>
      </c>
      <c r="L94" s="2">
        <v>87.19</v>
      </c>
      <c r="M94" s="2">
        <v>174.38</v>
      </c>
      <c r="N94" s="2">
        <v>3275</v>
      </c>
      <c r="O94" s="2">
        <v>3832</v>
      </c>
      <c r="P94" s="2">
        <f t="shared" si="3"/>
        <v>7107</v>
      </c>
      <c r="Q94" s="2" t="s">
        <v>86</v>
      </c>
      <c r="R94" s="2">
        <v>1</v>
      </c>
      <c r="S94" s="2">
        <v>0</v>
      </c>
      <c r="T94" s="2">
        <v>2</v>
      </c>
      <c r="U94" s="2">
        <v>1</v>
      </c>
      <c r="V94" s="2">
        <v>0</v>
      </c>
      <c r="W94" s="2">
        <v>12</v>
      </c>
      <c r="X94" s="2">
        <v>6</v>
      </c>
      <c r="Y94" s="2">
        <v>0</v>
      </c>
      <c r="Z94" s="2">
        <v>3</v>
      </c>
      <c r="AA94" s="2">
        <v>4</v>
      </c>
      <c r="AB94" s="2">
        <v>2</v>
      </c>
      <c r="AC94" s="2">
        <v>0</v>
      </c>
      <c r="AD94" s="2">
        <v>0</v>
      </c>
      <c r="AE94" s="2">
        <v>25</v>
      </c>
      <c r="AF94" s="2">
        <v>25</v>
      </c>
      <c r="AG94" s="2" t="s">
        <v>648</v>
      </c>
      <c r="AH94" s="2">
        <v>0</v>
      </c>
      <c r="AI94" s="2">
        <v>4</v>
      </c>
      <c r="AJ94" s="2">
        <v>6</v>
      </c>
      <c r="AK94" s="2">
        <v>0</v>
      </c>
      <c r="AL94" s="2">
        <v>1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3">
        <f>DATE(BE94, MATCH(TRIM(BD94), {"ENERO";"FEBRERO";"MARZO";"ABRIL";"MAYO";"JUNIO";"JULIO";"AGOSTO";"SEPTIEMBRE";"OCTUBRE";"NOVIEMBRE";"DICIEMBRE"}, 0), BC94)</f>
        <v>44762</v>
      </c>
      <c r="BC94" s="2">
        <v>20</v>
      </c>
      <c r="BD94" s="2" t="s">
        <v>57</v>
      </c>
      <c r="BE94" s="2">
        <v>2022</v>
      </c>
      <c r="BF94" s="2"/>
      <c r="BG94" s="2">
        <v>1</v>
      </c>
      <c r="BH94" s="2">
        <v>1</v>
      </c>
      <c r="BI94" s="2" t="s">
        <v>143</v>
      </c>
      <c r="BJ94" s="2" t="s">
        <v>0</v>
      </c>
      <c r="BK94" s="2"/>
      <c r="BL94" s="2"/>
    </row>
    <row r="95" spans="1:64" ht="18.75" x14ac:dyDescent="0.25">
      <c r="A95" s="2">
        <v>94</v>
      </c>
      <c r="B95" s="2" t="str">
        <f t="shared" si="2"/>
        <v>ADN-P-94</v>
      </c>
      <c r="C95" s="2" t="s">
        <v>19</v>
      </c>
      <c r="D95" s="2" t="s">
        <v>47</v>
      </c>
      <c r="E95" s="2" t="s">
        <v>647</v>
      </c>
      <c r="F95" s="2" t="s">
        <v>646</v>
      </c>
      <c r="G95" s="2" t="s">
        <v>645</v>
      </c>
      <c r="H95" s="2" t="s">
        <v>644</v>
      </c>
      <c r="I95" s="2" t="s">
        <v>643</v>
      </c>
      <c r="J95" s="2" t="s">
        <v>642</v>
      </c>
      <c r="K95" s="2">
        <v>310</v>
      </c>
      <c r="L95" s="2">
        <v>51.44</v>
      </c>
      <c r="M95" s="2">
        <v>102.88</v>
      </c>
      <c r="N95" s="2">
        <v>3275</v>
      </c>
      <c r="O95" s="2">
        <v>3832</v>
      </c>
      <c r="P95" s="2">
        <f t="shared" si="3"/>
        <v>7107</v>
      </c>
      <c r="Q95" s="2" t="s">
        <v>86</v>
      </c>
      <c r="R95" s="2">
        <v>1</v>
      </c>
      <c r="S95" s="2">
        <v>0</v>
      </c>
      <c r="T95" s="2">
        <v>1</v>
      </c>
      <c r="U95" s="2">
        <v>1</v>
      </c>
      <c r="V95" s="2">
        <v>0</v>
      </c>
      <c r="W95" s="2">
        <v>6</v>
      </c>
      <c r="X95" s="2">
        <v>3</v>
      </c>
      <c r="Y95" s="2">
        <v>0</v>
      </c>
      <c r="Z95" s="2">
        <v>1</v>
      </c>
      <c r="AA95" s="2">
        <v>3</v>
      </c>
      <c r="AB95" s="2">
        <v>0</v>
      </c>
      <c r="AC95" s="2">
        <v>1</v>
      </c>
      <c r="AD95" s="2">
        <v>2</v>
      </c>
      <c r="AE95" s="2">
        <v>8</v>
      </c>
      <c r="AF95" s="2">
        <v>8</v>
      </c>
      <c r="AG95" s="2">
        <v>99</v>
      </c>
      <c r="AH95" s="2">
        <v>0</v>
      </c>
      <c r="AI95" s="2">
        <v>0</v>
      </c>
      <c r="AJ95" s="2">
        <v>5</v>
      </c>
      <c r="AK95" s="2">
        <v>0</v>
      </c>
      <c r="AL95" s="2">
        <v>6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3">
        <f>DATE(BE95, MATCH(TRIM(BD95), {"ENERO";"FEBRERO";"MARZO";"ABRIL";"MAYO";"JUNIO";"JULIO";"AGOSTO";"SEPTIEMBRE";"OCTUBRE";"NOVIEMBRE";"DICIEMBRE"}, 0), BC95)</f>
        <v>44770</v>
      </c>
      <c r="BC95" s="2">
        <v>28</v>
      </c>
      <c r="BD95" s="2" t="s">
        <v>57</v>
      </c>
      <c r="BE95" s="2">
        <v>2022</v>
      </c>
      <c r="BF95" s="2"/>
      <c r="BG95" s="2">
        <v>1</v>
      </c>
      <c r="BH95" s="2">
        <v>1</v>
      </c>
      <c r="BI95" s="2" t="s">
        <v>143</v>
      </c>
      <c r="BJ95" s="2" t="s">
        <v>0</v>
      </c>
      <c r="BK95" s="2"/>
      <c r="BL95" s="2"/>
    </row>
    <row r="96" spans="1:64" ht="18.75" x14ac:dyDescent="0.25">
      <c r="A96" s="2">
        <v>95</v>
      </c>
      <c r="B96" s="2" t="str">
        <f t="shared" si="2"/>
        <v>ADN-P-95</v>
      </c>
      <c r="C96" s="2" t="s">
        <v>119</v>
      </c>
      <c r="D96" s="2" t="s">
        <v>586</v>
      </c>
      <c r="E96" s="2" t="s">
        <v>641</v>
      </c>
      <c r="F96" s="2" t="s">
        <v>640</v>
      </c>
      <c r="G96" s="2" t="s">
        <v>639</v>
      </c>
      <c r="H96" s="2" t="s">
        <v>638</v>
      </c>
      <c r="I96" s="2" t="s">
        <v>637</v>
      </c>
      <c r="J96" s="2" t="s">
        <v>636</v>
      </c>
      <c r="K96" s="2">
        <v>11133.01</v>
      </c>
      <c r="L96" s="2">
        <v>335.44</v>
      </c>
      <c r="M96" s="2">
        <v>670.88</v>
      </c>
      <c r="N96" s="2">
        <v>11104</v>
      </c>
      <c r="O96" s="2">
        <v>11896</v>
      </c>
      <c r="P96" s="2">
        <f t="shared" si="3"/>
        <v>23000</v>
      </c>
      <c r="Q96" s="2" t="s">
        <v>86</v>
      </c>
      <c r="R96" s="2">
        <v>1</v>
      </c>
      <c r="S96" s="2">
        <v>1</v>
      </c>
      <c r="T96" s="2">
        <v>1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26</v>
      </c>
      <c r="AF96" s="2">
        <v>26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3">
        <f>DATE(BE96, MATCH(TRIM(BD96), {"ENERO";"FEBRERO";"MARZO";"ABRIL";"MAYO";"JUNIO";"JULIO";"AGOSTO";"SEPTIEMBRE";"OCTUBRE";"NOVIEMBRE";"DICIEMBRE"}, 0), BC96)</f>
        <v>44776</v>
      </c>
      <c r="BC96" s="2">
        <v>3</v>
      </c>
      <c r="BD96" s="2" t="s">
        <v>50</v>
      </c>
      <c r="BE96" s="2">
        <v>2022</v>
      </c>
      <c r="BF96" s="2"/>
      <c r="BG96" s="2">
        <v>3</v>
      </c>
      <c r="BH96" s="2">
        <v>1</v>
      </c>
      <c r="BI96" s="2" t="s">
        <v>1</v>
      </c>
      <c r="BJ96" s="2" t="s">
        <v>0</v>
      </c>
      <c r="BK96" s="2"/>
      <c r="BL96" s="2"/>
    </row>
    <row r="97" spans="1:64" ht="18.75" x14ac:dyDescent="0.25">
      <c r="A97" s="2">
        <v>96</v>
      </c>
      <c r="B97" s="2" t="str">
        <f t="shared" si="2"/>
        <v>ADN-P-96</v>
      </c>
      <c r="C97" s="2" t="s">
        <v>19</v>
      </c>
      <c r="D97" s="2" t="s">
        <v>137</v>
      </c>
      <c r="E97" s="2" t="s">
        <v>635</v>
      </c>
      <c r="F97" s="2" t="s">
        <v>634</v>
      </c>
      <c r="G97" s="2" t="s">
        <v>633</v>
      </c>
      <c r="H97" s="2" t="s">
        <v>632</v>
      </c>
      <c r="I97" s="2" t="s">
        <v>631</v>
      </c>
      <c r="J97" s="2" t="s">
        <v>630</v>
      </c>
      <c r="K97" s="2">
        <v>562.30999999999995</v>
      </c>
      <c r="L97" s="2">
        <v>94</v>
      </c>
      <c r="M97" s="2">
        <v>188</v>
      </c>
      <c r="N97" s="2">
        <v>2489</v>
      </c>
      <c r="O97" s="2">
        <v>3046</v>
      </c>
      <c r="P97" s="2">
        <f t="shared" si="3"/>
        <v>5535</v>
      </c>
      <c r="Q97" s="2" t="s">
        <v>86</v>
      </c>
      <c r="R97" s="2">
        <v>4</v>
      </c>
      <c r="S97" s="2">
        <v>0</v>
      </c>
      <c r="T97" s="2">
        <v>1</v>
      </c>
      <c r="U97" s="2">
        <v>0</v>
      </c>
      <c r="V97" s="2">
        <v>0</v>
      </c>
      <c r="W97" s="2">
        <v>8</v>
      </c>
      <c r="X97" s="2">
        <v>20</v>
      </c>
      <c r="Y97" s="2">
        <v>0</v>
      </c>
      <c r="Z97" s="2">
        <v>2</v>
      </c>
      <c r="AA97" s="2">
        <v>4</v>
      </c>
      <c r="AB97" s="2">
        <v>0</v>
      </c>
      <c r="AC97" s="2">
        <v>0</v>
      </c>
      <c r="AD97" s="2">
        <v>0</v>
      </c>
      <c r="AE97" s="2">
        <v>18</v>
      </c>
      <c r="AF97" s="2">
        <v>18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3">
        <f>DATE(BE97, MATCH(TRIM(BD97), {"ENERO";"FEBRERO";"MARZO";"ABRIL";"MAYO";"JUNIO";"JULIO";"AGOSTO";"SEPTIEMBRE";"OCTUBRE";"NOVIEMBRE";"DICIEMBRE"}, 0), BC97)</f>
        <v>44777</v>
      </c>
      <c r="BC97" s="2">
        <v>4</v>
      </c>
      <c r="BD97" s="2" t="s">
        <v>50</v>
      </c>
      <c r="BE97" s="2">
        <v>2022</v>
      </c>
      <c r="BF97" s="2"/>
      <c r="BG97" s="2">
        <v>1</v>
      </c>
      <c r="BH97" s="2">
        <v>1</v>
      </c>
      <c r="BI97" s="2" t="s">
        <v>143</v>
      </c>
      <c r="BJ97" s="2" t="s">
        <v>0</v>
      </c>
      <c r="BK97" s="2"/>
      <c r="BL97" s="2"/>
    </row>
    <row r="98" spans="1:64" ht="18.75" x14ac:dyDescent="0.25">
      <c r="A98" s="2">
        <v>97</v>
      </c>
      <c r="B98" s="2" t="str">
        <f t="shared" si="2"/>
        <v>ADN-P-97</v>
      </c>
      <c r="C98" s="2" t="s">
        <v>19</v>
      </c>
      <c r="D98" s="2" t="s">
        <v>25</v>
      </c>
      <c r="E98" s="2" t="s">
        <v>629</v>
      </c>
      <c r="F98" s="2" t="s">
        <v>628</v>
      </c>
      <c r="G98" s="2" t="s">
        <v>627</v>
      </c>
      <c r="H98" s="2" t="s">
        <v>626</v>
      </c>
      <c r="I98" s="2" t="s">
        <v>625</v>
      </c>
      <c r="J98" s="2" t="s">
        <v>466</v>
      </c>
      <c r="K98" s="2">
        <v>678.64</v>
      </c>
      <c r="L98" s="2">
        <v>99.56</v>
      </c>
      <c r="M98" s="2">
        <v>199.12</v>
      </c>
      <c r="N98" s="2">
        <v>7919</v>
      </c>
      <c r="O98" s="2">
        <v>9701</v>
      </c>
      <c r="P98" s="2">
        <f t="shared" si="3"/>
        <v>17620</v>
      </c>
      <c r="Q98" s="2" t="s">
        <v>86</v>
      </c>
      <c r="R98" s="2">
        <v>0</v>
      </c>
      <c r="S98" s="2"/>
      <c r="T98" s="2">
        <v>4</v>
      </c>
      <c r="U98" s="2">
        <v>0</v>
      </c>
      <c r="V98" s="2">
        <v>0</v>
      </c>
      <c r="W98" s="2">
        <v>0</v>
      </c>
      <c r="X98" s="2">
        <v>2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1</v>
      </c>
      <c r="AF98" s="2">
        <v>0</v>
      </c>
      <c r="AG98" s="2">
        <v>43.8</v>
      </c>
      <c r="AH98" s="2">
        <v>0</v>
      </c>
      <c r="AI98" s="2">
        <v>3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3">
        <f>DATE(BE98, MATCH(TRIM(BD98), {"ENERO";"FEBRERO";"MARZO";"ABRIL";"MAYO";"JUNIO";"JULIO";"AGOSTO";"SEPTIEMBRE";"OCTUBRE";"NOVIEMBRE";"DICIEMBRE"}, 0), BC98)</f>
        <v>44778</v>
      </c>
      <c r="BC98" s="2">
        <v>5</v>
      </c>
      <c r="BD98" s="2" t="s">
        <v>50</v>
      </c>
      <c r="BE98" s="2">
        <v>2022</v>
      </c>
      <c r="BF98" s="2"/>
      <c r="BG98" s="2">
        <v>1</v>
      </c>
      <c r="BH98" s="2">
        <v>1</v>
      </c>
      <c r="BI98" s="2" t="s">
        <v>1</v>
      </c>
      <c r="BJ98" s="2" t="s">
        <v>0</v>
      </c>
      <c r="BK98" s="2"/>
      <c r="BL98" s="2"/>
    </row>
    <row r="99" spans="1:64" ht="18.75" x14ac:dyDescent="0.25">
      <c r="A99" s="2">
        <v>98</v>
      </c>
      <c r="B99" s="2" t="str">
        <f t="shared" si="2"/>
        <v>ADN-P-98</v>
      </c>
      <c r="C99" s="2" t="s">
        <v>119</v>
      </c>
      <c r="D99" s="2" t="s">
        <v>118</v>
      </c>
      <c r="E99" s="2" t="s">
        <v>624</v>
      </c>
      <c r="F99" s="2" t="s">
        <v>623</v>
      </c>
      <c r="G99" s="2" t="s">
        <v>622</v>
      </c>
      <c r="H99" s="2" t="s">
        <v>621</v>
      </c>
      <c r="I99" s="2" t="s">
        <v>620</v>
      </c>
      <c r="J99" s="2" t="s">
        <v>361</v>
      </c>
      <c r="K99" s="2">
        <v>336.78</v>
      </c>
      <c r="L99" s="2">
        <v>40.700000000000003</v>
      </c>
      <c r="M99" s="2">
        <v>81.400000000000006</v>
      </c>
      <c r="N99" s="2">
        <v>13747</v>
      </c>
      <c r="O99" s="2">
        <v>14873</v>
      </c>
      <c r="P99" s="2">
        <f t="shared" si="3"/>
        <v>28620</v>
      </c>
      <c r="Q99" s="2" t="s">
        <v>86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16</v>
      </c>
      <c r="AF99" s="2">
        <v>16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3">
        <f>DATE(BE99, MATCH(TRIM(BD99), {"ENERO";"FEBRERO";"MARZO";"ABRIL";"MAYO";"JUNIO";"JULIO";"AGOSTO";"SEPTIEMBRE";"OCTUBRE";"NOVIEMBRE";"DICIEMBRE"}, 0), BC99)</f>
        <v>44780</v>
      </c>
      <c r="BC99" s="2">
        <v>7</v>
      </c>
      <c r="BD99" s="2" t="s">
        <v>50</v>
      </c>
      <c r="BE99" s="2">
        <v>2022</v>
      </c>
      <c r="BF99" s="2"/>
      <c r="BG99" s="2">
        <v>3</v>
      </c>
      <c r="BH99" s="2">
        <v>1</v>
      </c>
      <c r="BI99" s="2" t="s">
        <v>1</v>
      </c>
      <c r="BJ99" s="2" t="s">
        <v>0</v>
      </c>
      <c r="BK99" s="2"/>
      <c r="BL99" s="2"/>
    </row>
    <row r="100" spans="1:64" ht="18.75" x14ac:dyDescent="0.25">
      <c r="A100" s="2">
        <v>99</v>
      </c>
      <c r="B100" s="2" t="str">
        <f t="shared" si="2"/>
        <v>ADN-P-99</v>
      </c>
      <c r="C100" s="2" t="s">
        <v>19</v>
      </c>
      <c r="D100" s="2" t="s">
        <v>137</v>
      </c>
      <c r="E100" s="2" t="s">
        <v>619</v>
      </c>
      <c r="F100" s="2" t="s">
        <v>618</v>
      </c>
      <c r="G100" s="2" t="s">
        <v>617</v>
      </c>
      <c r="H100" s="2" t="s">
        <v>616</v>
      </c>
      <c r="I100" s="2" t="s">
        <v>615</v>
      </c>
      <c r="J100" s="2" t="s">
        <v>614</v>
      </c>
      <c r="K100" s="2">
        <v>385.24</v>
      </c>
      <c r="L100" s="2">
        <v>40.89</v>
      </c>
      <c r="M100" s="2">
        <v>81.78</v>
      </c>
      <c r="N100" s="2">
        <v>3737</v>
      </c>
      <c r="O100" s="2">
        <v>4055</v>
      </c>
      <c r="P100" s="2">
        <f t="shared" si="3"/>
        <v>7792</v>
      </c>
      <c r="Q100" s="2" t="s">
        <v>192</v>
      </c>
      <c r="R100" s="2">
        <v>1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8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10</v>
      </c>
      <c r="AF100" s="2">
        <v>10</v>
      </c>
      <c r="AG100" s="2">
        <v>0</v>
      </c>
      <c r="AH100" s="2">
        <v>2</v>
      </c>
      <c r="AI100" s="2">
        <v>0</v>
      </c>
      <c r="AJ100" s="2">
        <v>3</v>
      </c>
      <c r="AK100" s="2">
        <v>3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3">
        <f>DATE(BE100, MATCH(TRIM(BD100), {"ENERO";"FEBRERO";"MARZO";"ABRIL";"MAYO";"JUNIO";"JULIO";"AGOSTO";"SEPTIEMBRE";"OCTUBRE";"NOVIEMBRE";"DICIEMBRE"}, 0), BC100)</f>
        <v>44782</v>
      </c>
      <c r="BC100" s="2">
        <v>9</v>
      </c>
      <c r="BD100" s="2" t="s">
        <v>50</v>
      </c>
      <c r="BE100" s="2">
        <v>2022</v>
      </c>
      <c r="BF100" s="2"/>
      <c r="BG100" s="2">
        <v>1</v>
      </c>
      <c r="BH100" s="2">
        <v>1</v>
      </c>
      <c r="BI100" s="2" t="s">
        <v>143</v>
      </c>
      <c r="BJ100" s="2" t="s">
        <v>0</v>
      </c>
      <c r="BK100" s="2"/>
      <c r="BL100" s="2"/>
    </row>
    <row r="101" spans="1:64" ht="18.75" x14ac:dyDescent="0.25">
      <c r="A101" s="2">
        <v>100</v>
      </c>
      <c r="B101" s="2" t="str">
        <f t="shared" si="2"/>
        <v>ADN-P-100</v>
      </c>
      <c r="C101" s="2" t="s">
        <v>19</v>
      </c>
      <c r="D101" s="2" t="s">
        <v>111</v>
      </c>
      <c r="E101" s="2" t="s">
        <v>613</v>
      </c>
      <c r="F101" s="2" t="s">
        <v>612</v>
      </c>
      <c r="G101" s="2" t="s">
        <v>611</v>
      </c>
      <c r="H101" s="2" t="s">
        <v>610</v>
      </c>
      <c r="I101" s="2" t="s">
        <v>609</v>
      </c>
      <c r="J101" s="2" t="s">
        <v>608</v>
      </c>
      <c r="K101" s="2">
        <v>5179.99</v>
      </c>
      <c r="L101" s="2">
        <v>332.48</v>
      </c>
      <c r="M101" s="2">
        <v>664.96</v>
      </c>
      <c r="N101" s="2">
        <v>8831</v>
      </c>
      <c r="O101" s="2">
        <v>10027</v>
      </c>
      <c r="P101" s="2">
        <f t="shared" si="3"/>
        <v>18858</v>
      </c>
      <c r="Q101" s="2" t="s">
        <v>86</v>
      </c>
      <c r="R101" s="2">
        <v>1</v>
      </c>
      <c r="S101" s="2">
        <v>1</v>
      </c>
      <c r="T101" s="2">
        <v>1</v>
      </c>
      <c r="U101" s="2">
        <v>1</v>
      </c>
      <c r="V101" s="2">
        <v>0</v>
      </c>
      <c r="W101" s="2">
        <v>8</v>
      </c>
      <c r="X101" s="2">
        <v>6</v>
      </c>
      <c r="Y101" s="2">
        <v>0</v>
      </c>
      <c r="Z101" s="2">
        <v>1</v>
      </c>
      <c r="AA101" s="2">
        <v>3</v>
      </c>
      <c r="AB101" s="2">
        <v>0</v>
      </c>
      <c r="AC101" s="2">
        <v>0</v>
      </c>
      <c r="AD101" s="2">
        <v>1</v>
      </c>
      <c r="AE101" s="2">
        <v>14</v>
      </c>
      <c r="AF101" s="2">
        <v>14</v>
      </c>
      <c r="AG101" s="2" t="s">
        <v>607</v>
      </c>
      <c r="AH101" s="2">
        <v>0</v>
      </c>
      <c r="AI101" s="2">
        <v>7</v>
      </c>
      <c r="AJ101" s="2">
        <v>4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3">
        <f>DATE(BE101, MATCH(TRIM(BD101), {"ENERO";"FEBRERO";"MARZO";"ABRIL";"MAYO";"JUNIO";"JULIO";"AGOSTO";"SEPTIEMBRE";"OCTUBRE";"NOVIEMBRE";"DICIEMBRE"}, 0), BC101)</f>
        <v>44784</v>
      </c>
      <c r="BC101" s="2">
        <v>11</v>
      </c>
      <c r="BD101" s="2" t="s">
        <v>50</v>
      </c>
      <c r="BE101" s="2">
        <v>2022</v>
      </c>
      <c r="BF101" s="2"/>
      <c r="BG101" s="2">
        <v>1</v>
      </c>
      <c r="BH101" s="2">
        <v>1</v>
      </c>
      <c r="BI101" s="2" t="s">
        <v>48</v>
      </c>
      <c r="BJ101" s="2" t="s">
        <v>0</v>
      </c>
      <c r="BK101" s="2"/>
      <c r="BL101" s="2"/>
    </row>
    <row r="102" spans="1:64" ht="18.75" x14ac:dyDescent="0.25">
      <c r="A102" s="2">
        <v>101</v>
      </c>
      <c r="B102" s="2" t="str">
        <f t="shared" si="2"/>
        <v>ADN-P-101</v>
      </c>
      <c r="C102" s="2" t="s">
        <v>119</v>
      </c>
      <c r="D102" s="2" t="s">
        <v>137</v>
      </c>
      <c r="E102" s="2" t="s">
        <v>606</v>
      </c>
      <c r="F102" s="2" t="s">
        <v>605</v>
      </c>
      <c r="G102" s="2" t="s">
        <v>604</v>
      </c>
      <c r="H102" s="2" t="s">
        <v>603</v>
      </c>
      <c r="I102" s="2" t="s">
        <v>602</v>
      </c>
      <c r="J102" s="2" t="s">
        <v>131</v>
      </c>
      <c r="K102" s="2">
        <v>4155</v>
      </c>
      <c r="L102" s="2">
        <v>228.43</v>
      </c>
      <c r="M102" s="2">
        <v>456.86</v>
      </c>
      <c r="N102" s="2">
        <v>7256</v>
      </c>
      <c r="O102" s="2">
        <v>7711</v>
      </c>
      <c r="P102" s="2">
        <f t="shared" si="3"/>
        <v>14967</v>
      </c>
      <c r="Q102" s="2" t="s">
        <v>86</v>
      </c>
      <c r="R102" s="2">
        <v>1</v>
      </c>
      <c r="S102" s="2">
        <v>0</v>
      </c>
      <c r="T102" s="2">
        <v>1</v>
      </c>
      <c r="U102" s="2">
        <v>0</v>
      </c>
      <c r="V102" s="2">
        <v>0</v>
      </c>
      <c r="W102" s="2">
        <v>15</v>
      </c>
      <c r="X102" s="2">
        <v>6</v>
      </c>
      <c r="Y102" s="2">
        <v>1</v>
      </c>
      <c r="Z102" s="2">
        <v>4</v>
      </c>
      <c r="AA102" s="2">
        <v>7</v>
      </c>
      <c r="AB102" s="2">
        <v>0</v>
      </c>
      <c r="AC102" s="2">
        <v>0</v>
      </c>
      <c r="AD102" s="2">
        <v>0</v>
      </c>
      <c r="AE102" s="2">
        <v>13</v>
      </c>
      <c r="AF102" s="2">
        <v>13</v>
      </c>
      <c r="AG102" s="2">
        <v>65</v>
      </c>
      <c r="AH102" s="2">
        <v>0</v>
      </c>
      <c r="AI102" s="2">
        <v>0</v>
      </c>
      <c r="AJ102" s="2">
        <v>0</v>
      </c>
      <c r="AK102" s="2">
        <v>0</v>
      </c>
      <c r="AL102" s="2">
        <v>3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3">
        <f>DATE(BE102, MATCH(TRIM(BD102), {"ENERO";"FEBRERO";"MARZO";"ABRIL";"MAYO";"JUNIO";"JULIO";"AGOSTO";"SEPTIEMBRE";"OCTUBRE";"NOVIEMBRE";"DICIEMBRE"}, 0), BC102)</f>
        <v>44791</v>
      </c>
      <c r="BC102" s="2">
        <v>18</v>
      </c>
      <c r="BD102" s="2" t="s">
        <v>50</v>
      </c>
      <c r="BE102" s="2">
        <v>2022</v>
      </c>
      <c r="BF102" s="2"/>
      <c r="BG102" s="2">
        <v>3</v>
      </c>
      <c r="BH102" s="2">
        <v>1</v>
      </c>
      <c r="BI102" s="2" t="s">
        <v>48</v>
      </c>
      <c r="BJ102" s="2" t="s">
        <v>0</v>
      </c>
      <c r="BK102" s="2"/>
      <c r="BL102" s="2"/>
    </row>
    <row r="103" spans="1:64" ht="18.75" x14ac:dyDescent="0.25">
      <c r="A103" s="2">
        <v>102</v>
      </c>
      <c r="B103" s="2" t="str">
        <f t="shared" si="2"/>
        <v>ADN-P-102</v>
      </c>
      <c r="C103" s="2" t="s">
        <v>19</v>
      </c>
      <c r="D103" s="2" t="s">
        <v>25</v>
      </c>
      <c r="E103" s="2" t="s">
        <v>601</v>
      </c>
      <c r="F103" s="2" t="s">
        <v>600</v>
      </c>
      <c r="G103" s="2" t="s">
        <v>599</v>
      </c>
      <c r="H103" s="2" t="s">
        <v>598</v>
      </c>
      <c r="I103" s="2" t="s">
        <v>597</v>
      </c>
      <c r="J103" s="2" t="s">
        <v>466</v>
      </c>
      <c r="K103" s="2">
        <v>767.62</v>
      </c>
      <c r="L103" s="2">
        <v>128.91</v>
      </c>
      <c r="M103" s="2">
        <v>257.82</v>
      </c>
      <c r="N103" s="2">
        <v>7919</v>
      </c>
      <c r="O103" s="2">
        <v>9701</v>
      </c>
      <c r="P103" s="2">
        <f t="shared" si="3"/>
        <v>17620</v>
      </c>
      <c r="Q103" s="2" t="s">
        <v>86</v>
      </c>
      <c r="R103" s="2">
        <v>1</v>
      </c>
      <c r="S103" s="2">
        <v>1</v>
      </c>
      <c r="T103" s="2">
        <v>2</v>
      </c>
      <c r="U103" s="2">
        <v>1</v>
      </c>
      <c r="V103" s="2">
        <v>0</v>
      </c>
      <c r="W103" s="2">
        <v>16</v>
      </c>
      <c r="X103" s="2">
        <v>10</v>
      </c>
      <c r="Y103" s="2">
        <v>0</v>
      </c>
      <c r="Z103" s="2">
        <v>8</v>
      </c>
      <c r="AA103" s="2">
        <v>5</v>
      </c>
      <c r="AB103" s="2">
        <v>0</v>
      </c>
      <c r="AC103" s="2">
        <v>0</v>
      </c>
      <c r="AD103" s="2">
        <v>0</v>
      </c>
      <c r="AE103" s="2">
        <v>27</v>
      </c>
      <c r="AF103" s="2">
        <v>5</v>
      </c>
      <c r="AG103" s="2" t="s">
        <v>596</v>
      </c>
      <c r="AH103" s="2">
        <v>0</v>
      </c>
      <c r="AI103" s="2">
        <v>0</v>
      </c>
      <c r="AJ103" s="2">
        <v>2</v>
      </c>
      <c r="AK103" s="2">
        <v>0</v>
      </c>
      <c r="AL103" s="2">
        <v>1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3">
        <f>DATE(BE103, MATCH(TRIM(BD103), {"ENERO";"FEBRERO";"MARZO";"ABRIL";"MAYO";"JUNIO";"JULIO";"AGOSTO";"SEPTIEMBRE";"OCTUBRE";"NOVIEMBRE";"DICIEMBRE"}, 0), BC103)</f>
        <v>44813</v>
      </c>
      <c r="BC103" s="2">
        <v>9</v>
      </c>
      <c r="BD103" s="2" t="s">
        <v>33</v>
      </c>
      <c r="BE103" s="2">
        <v>2022</v>
      </c>
      <c r="BF103" s="2"/>
      <c r="BG103" s="2">
        <v>1</v>
      </c>
      <c r="BH103" s="2">
        <v>1</v>
      </c>
      <c r="BI103" s="2" t="s">
        <v>1</v>
      </c>
      <c r="BJ103" s="2" t="s">
        <v>0</v>
      </c>
      <c r="BK103" s="2"/>
      <c r="BL103" s="2"/>
    </row>
    <row r="104" spans="1:64" ht="18.75" x14ac:dyDescent="0.25">
      <c r="A104" s="2">
        <v>103</v>
      </c>
      <c r="B104" s="2" t="str">
        <f t="shared" si="2"/>
        <v>ADN-P-103</v>
      </c>
      <c r="C104" s="2" t="s">
        <v>19</v>
      </c>
      <c r="D104" s="2" t="s">
        <v>118</v>
      </c>
      <c r="E104" s="2" t="s">
        <v>595</v>
      </c>
      <c r="F104" s="2" t="s">
        <v>307</v>
      </c>
      <c r="G104" s="2" t="s">
        <v>594</v>
      </c>
      <c r="H104" s="2" t="s">
        <v>593</v>
      </c>
      <c r="I104" s="2" t="s">
        <v>592</v>
      </c>
      <c r="J104" s="2" t="s">
        <v>1201</v>
      </c>
      <c r="K104" s="2">
        <v>1213.0999999999999</v>
      </c>
      <c r="L104" s="2">
        <v>106.71</v>
      </c>
      <c r="M104" s="2">
        <v>213.42</v>
      </c>
      <c r="N104" s="2">
        <v>1806</v>
      </c>
      <c r="O104" s="2">
        <v>1985</v>
      </c>
      <c r="P104" s="2">
        <f t="shared" si="3"/>
        <v>3791</v>
      </c>
      <c r="Q104" s="2" t="s">
        <v>86</v>
      </c>
      <c r="R104" s="2">
        <v>1</v>
      </c>
      <c r="S104" s="2">
        <v>0</v>
      </c>
      <c r="T104" s="2">
        <v>0</v>
      </c>
      <c r="U104" s="2">
        <v>0</v>
      </c>
      <c r="V104" s="2">
        <v>0</v>
      </c>
      <c r="W104" s="2">
        <v>8</v>
      </c>
      <c r="X104" s="2">
        <v>4</v>
      </c>
      <c r="Y104" s="2">
        <v>0</v>
      </c>
      <c r="Z104" s="2">
        <v>1</v>
      </c>
      <c r="AA104" s="2">
        <v>0</v>
      </c>
      <c r="AB104" s="2">
        <v>0</v>
      </c>
      <c r="AC104" s="2">
        <v>0</v>
      </c>
      <c r="AD104" s="2">
        <v>0</v>
      </c>
      <c r="AE104" s="2">
        <v>31</v>
      </c>
      <c r="AF104" s="2">
        <v>31</v>
      </c>
      <c r="AG104" s="2">
        <v>123.93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3">
        <f>DATE(BE104, MATCH(TRIM(BD104), {"ENERO";"FEBRERO";"MARZO";"ABRIL";"MAYO";"JUNIO";"JULIO";"AGOSTO";"SEPTIEMBRE";"OCTUBRE";"NOVIEMBRE";"DICIEMBRE"}, 0), BC104)</f>
        <v>44820</v>
      </c>
      <c r="BC104" s="2">
        <v>16</v>
      </c>
      <c r="BD104" s="2" t="s">
        <v>33</v>
      </c>
      <c r="BE104" s="2">
        <v>2022</v>
      </c>
      <c r="BF104" s="2"/>
      <c r="BG104" s="2">
        <v>1</v>
      </c>
      <c r="BH104" s="2">
        <v>1</v>
      </c>
      <c r="BI104" s="2" t="s">
        <v>143</v>
      </c>
      <c r="BJ104" s="2" t="s">
        <v>0</v>
      </c>
      <c r="BK104" s="2"/>
      <c r="BL104" s="2"/>
    </row>
    <row r="105" spans="1:64" ht="18.75" x14ac:dyDescent="0.25">
      <c r="A105" s="2">
        <v>104</v>
      </c>
      <c r="B105" s="2" t="str">
        <f t="shared" si="2"/>
        <v>ADN-P-104</v>
      </c>
      <c r="C105" s="2" t="s">
        <v>19</v>
      </c>
      <c r="D105" s="2" t="s">
        <v>25</v>
      </c>
      <c r="E105" s="2" t="s">
        <v>591</v>
      </c>
      <c r="F105" s="2" t="s">
        <v>590</v>
      </c>
      <c r="G105" s="2" t="s">
        <v>589</v>
      </c>
      <c r="H105" s="2" t="s">
        <v>588</v>
      </c>
      <c r="I105" s="2" t="s">
        <v>587</v>
      </c>
      <c r="J105" s="2" t="s">
        <v>466</v>
      </c>
      <c r="K105" s="2">
        <v>918.97</v>
      </c>
      <c r="L105" s="2">
        <v>158.49</v>
      </c>
      <c r="M105" s="2">
        <v>316.98</v>
      </c>
      <c r="N105" s="2">
        <v>7919</v>
      </c>
      <c r="O105" s="2">
        <v>9701</v>
      </c>
      <c r="P105" s="2">
        <f t="shared" si="3"/>
        <v>17620</v>
      </c>
      <c r="Q105" s="2" t="s">
        <v>86</v>
      </c>
      <c r="R105" s="2">
        <v>2</v>
      </c>
      <c r="S105" s="2">
        <v>0</v>
      </c>
      <c r="T105" s="2">
        <v>0</v>
      </c>
      <c r="U105" s="2">
        <v>0</v>
      </c>
      <c r="V105" s="2">
        <v>0</v>
      </c>
      <c r="W105" s="2">
        <v>6</v>
      </c>
      <c r="X105" s="2">
        <v>1</v>
      </c>
      <c r="Y105" s="2">
        <v>0</v>
      </c>
      <c r="Z105" s="2">
        <v>1</v>
      </c>
      <c r="AA105" s="2">
        <v>0</v>
      </c>
      <c r="AB105" s="2">
        <v>0</v>
      </c>
      <c r="AC105" s="2">
        <v>0</v>
      </c>
      <c r="AD105" s="2">
        <v>0</v>
      </c>
      <c r="AE105" s="2">
        <v>11</v>
      </c>
      <c r="AF105" s="2">
        <v>5</v>
      </c>
      <c r="AG105" s="2">
        <v>225.8</v>
      </c>
      <c r="AH105" s="2">
        <v>1</v>
      </c>
      <c r="AI105" s="2">
        <v>0</v>
      </c>
      <c r="AJ105" s="2">
        <v>4</v>
      </c>
      <c r="AK105" s="2">
        <v>0</v>
      </c>
      <c r="AL105" s="2">
        <v>7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3">
        <f>DATE(BE105, MATCH(TRIM(BD105), {"ENERO";"FEBRERO";"MARZO";"ABRIL";"MAYO";"JUNIO";"JULIO";"AGOSTO";"SEPTIEMBRE";"OCTUBRE";"NOVIEMBRE";"DICIEMBRE"}, 0), BC105)</f>
        <v>44831</v>
      </c>
      <c r="BC105" s="2">
        <v>27</v>
      </c>
      <c r="BD105" s="2" t="s">
        <v>33</v>
      </c>
      <c r="BE105" s="2">
        <v>2022</v>
      </c>
      <c r="BF105" s="2"/>
      <c r="BG105" s="2">
        <v>1</v>
      </c>
      <c r="BH105" s="2">
        <v>1</v>
      </c>
      <c r="BI105" s="2" t="s">
        <v>1</v>
      </c>
      <c r="BJ105" s="2" t="s">
        <v>0</v>
      </c>
      <c r="BK105" s="2"/>
      <c r="BL105" s="2"/>
    </row>
    <row r="106" spans="1:64" ht="18.75" x14ac:dyDescent="0.25">
      <c r="A106" s="2">
        <v>105</v>
      </c>
      <c r="B106" s="2" t="str">
        <f t="shared" si="2"/>
        <v>ADN-P-105</v>
      </c>
      <c r="C106" s="2" t="s">
        <v>119</v>
      </c>
      <c r="D106" s="2" t="s">
        <v>586</v>
      </c>
      <c r="E106" s="2" t="s">
        <v>585</v>
      </c>
      <c r="F106" s="2" t="s">
        <v>584</v>
      </c>
      <c r="G106" s="2" t="s">
        <v>583</v>
      </c>
      <c r="H106" s="2" t="s">
        <v>582</v>
      </c>
      <c r="I106" s="2" t="s">
        <v>581</v>
      </c>
      <c r="J106" s="2" t="s">
        <v>580</v>
      </c>
      <c r="K106" s="2">
        <v>585.66</v>
      </c>
      <c r="L106" s="2">
        <v>43.09</v>
      </c>
      <c r="M106" s="2">
        <v>86.18</v>
      </c>
      <c r="N106" s="2">
        <v>22272</v>
      </c>
      <c r="O106" s="2">
        <v>21821</v>
      </c>
      <c r="P106" s="2">
        <f t="shared" si="3"/>
        <v>44093</v>
      </c>
      <c r="Q106" s="2" t="s">
        <v>86</v>
      </c>
      <c r="R106" s="2">
        <v>1</v>
      </c>
      <c r="S106" s="2">
        <v>2</v>
      </c>
      <c r="T106" s="2">
        <v>1</v>
      </c>
      <c r="U106" s="2">
        <v>1</v>
      </c>
      <c r="V106" s="2">
        <v>0</v>
      </c>
      <c r="W106" s="2">
        <v>17</v>
      </c>
      <c r="X106" s="2">
        <v>4</v>
      </c>
      <c r="Y106" s="2">
        <v>0</v>
      </c>
      <c r="Z106" s="2">
        <v>2</v>
      </c>
      <c r="AA106" s="2">
        <v>5</v>
      </c>
      <c r="AB106" s="2">
        <v>0</v>
      </c>
      <c r="AC106" s="2">
        <v>0</v>
      </c>
      <c r="AD106" s="2">
        <v>2</v>
      </c>
      <c r="AE106" s="2">
        <v>22</v>
      </c>
      <c r="AF106" s="2">
        <v>10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4</v>
      </c>
      <c r="AM106" s="2">
        <v>1</v>
      </c>
      <c r="AN106" s="2">
        <v>0</v>
      </c>
      <c r="AO106" s="2">
        <v>1</v>
      </c>
      <c r="AP106" s="2">
        <v>0</v>
      </c>
      <c r="AQ106" s="2">
        <v>1</v>
      </c>
      <c r="AR106" s="2">
        <v>0</v>
      </c>
      <c r="AS106" s="2">
        <v>1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3">
        <f>DATE(BE106, MATCH(TRIM(BD106), {"ENERO";"FEBRERO";"MARZO";"ABRIL";"MAYO";"JUNIO";"JULIO";"AGOSTO";"SEPTIEMBRE";"OCTUBRE";"NOVIEMBRE";"DICIEMBRE"}, 0), BC106)</f>
        <v>44833</v>
      </c>
      <c r="BC106" s="2">
        <v>29</v>
      </c>
      <c r="BD106" s="2" t="s">
        <v>33</v>
      </c>
      <c r="BE106" s="2">
        <v>2022</v>
      </c>
      <c r="BF106" s="2"/>
      <c r="BG106" s="2">
        <v>3</v>
      </c>
      <c r="BH106" s="2">
        <v>1</v>
      </c>
      <c r="BI106" s="2" t="s">
        <v>143</v>
      </c>
      <c r="BJ106" s="2" t="s">
        <v>0</v>
      </c>
      <c r="BK106" s="2"/>
      <c r="BL106" s="2"/>
    </row>
    <row r="107" spans="1:64" ht="18.75" x14ac:dyDescent="0.25">
      <c r="A107" s="2">
        <v>106</v>
      </c>
      <c r="B107" s="2" t="str">
        <f t="shared" si="2"/>
        <v>ADN-P-106</v>
      </c>
      <c r="C107" s="2" t="s">
        <v>19</v>
      </c>
      <c r="D107" s="2" t="s">
        <v>25</v>
      </c>
      <c r="E107" s="2" t="s">
        <v>579</v>
      </c>
      <c r="F107" s="2" t="s">
        <v>578</v>
      </c>
      <c r="G107" s="2" t="s">
        <v>577</v>
      </c>
      <c r="H107" s="2" t="s">
        <v>576</v>
      </c>
      <c r="I107" s="2" t="s">
        <v>575</v>
      </c>
      <c r="J107" s="2" t="s">
        <v>65</v>
      </c>
      <c r="K107" s="2">
        <v>111.96</v>
      </c>
      <c r="L107" s="2">
        <v>33.19</v>
      </c>
      <c r="M107" s="2">
        <v>66.38</v>
      </c>
      <c r="N107" s="2">
        <v>2650</v>
      </c>
      <c r="O107" s="2">
        <v>3045</v>
      </c>
      <c r="P107" s="2">
        <f t="shared" si="3"/>
        <v>5695</v>
      </c>
      <c r="Q107" s="2" t="s">
        <v>58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3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44</v>
      </c>
      <c r="AF107" s="2">
        <v>0</v>
      </c>
      <c r="AG107" s="2"/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3">
        <f>DATE(BE107, MATCH(TRIM(BD107), {"ENERO";"FEBRERO";"MARZO";"ABRIL";"MAYO";"JUNIO";"JULIO";"AGOSTO";"SEPTIEMBRE";"OCTUBRE";"NOVIEMBRE";"DICIEMBRE"}, 0), BC107)</f>
        <v>44844</v>
      </c>
      <c r="BC107" s="2">
        <v>10</v>
      </c>
      <c r="BD107" s="2" t="s">
        <v>26</v>
      </c>
      <c r="BE107" s="2">
        <v>2022</v>
      </c>
      <c r="BF107" s="2"/>
      <c r="BG107" s="2">
        <v>1</v>
      </c>
      <c r="BH107" s="2">
        <v>2</v>
      </c>
      <c r="BI107" s="2" t="s">
        <v>1</v>
      </c>
      <c r="BJ107" s="2" t="s">
        <v>0</v>
      </c>
      <c r="BK107" s="2"/>
      <c r="BL107" s="2"/>
    </row>
    <row r="108" spans="1:64" ht="18.75" x14ac:dyDescent="0.25">
      <c r="A108" s="2">
        <v>107</v>
      </c>
      <c r="B108" s="2" t="str">
        <f t="shared" si="2"/>
        <v>ADN-P-107</v>
      </c>
      <c r="C108" s="2" t="s">
        <v>19</v>
      </c>
      <c r="D108" s="2" t="s">
        <v>25</v>
      </c>
      <c r="E108" s="2" t="s">
        <v>574</v>
      </c>
      <c r="F108" s="2" t="s">
        <v>573</v>
      </c>
      <c r="G108" s="2" t="s">
        <v>572</v>
      </c>
      <c r="H108" s="2" t="s">
        <v>571</v>
      </c>
      <c r="I108" s="2" t="s">
        <v>570</v>
      </c>
      <c r="J108" s="2" t="s">
        <v>65</v>
      </c>
      <c r="K108" s="2">
        <v>1244.47</v>
      </c>
      <c r="L108" s="2">
        <v>323.19</v>
      </c>
      <c r="M108" s="2">
        <v>646.38</v>
      </c>
      <c r="N108" s="2">
        <v>2650</v>
      </c>
      <c r="O108" s="2">
        <v>3045</v>
      </c>
      <c r="P108" s="2">
        <f t="shared" si="3"/>
        <v>5695</v>
      </c>
      <c r="Q108" s="2" t="s">
        <v>58</v>
      </c>
      <c r="R108" s="2">
        <v>1</v>
      </c>
      <c r="S108" s="2">
        <v>0</v>
      </c>
      <c r="T108" s="2">
        <v>0</v>
      </c>
      <c r="U108" s="2">
        <v>0</v>
      </c>
      <c r="V108" s="2">
        <v>0</v>
      </c>
      <c r="W108" s="2">
        <v>3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7</v>
      </c>
      <c r="AF108" s="2">
        <v>0</v>
      </c>
      <c r="AG108" s="2"/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3">
        <f>DATE(BE108, MATCH(TRIM(BD108), {"ENERO";"FEBRERO";"MARZO";"ABRIL";"MAYO";"JUNIO";"JULIO";"AGOSTO";"SEPTIEMBRE";"OCTUBRE";"NOVIEMBRE";"DICIEMBRE"}, 0), BC108)</f>
        <v>44844</v>
      </c>
      <c r="BC108" s="2">
        <v>10</v>
      </c>
      <c r="BD108" s="2" t="s">
        <v>26</v>
      </c>
      <c r="BE108" s="2">
        <v>2022</v>
      </c>
      <c r="BF108" s="2"/>
      <c r="BG108" s="2">
        <v>1</v>
      </c>
      <c r="BH108" s="2">
        <v>2</v>
      </c>
      <c r="BI108" s="2" t="s">
        <v>1</v>
      </c>
      <c r="BJ108" s="2" t="s">
        <v>0</v>
      </c>
      <c r="BK108" s="2"/>
      <c r="BL108" s="2"/>
    </row>
    <row r="109" spans="1:64" ht="18.75" x14ac:dyDescent="0.25">
      <c r="A109" s="2">
        <v>108</v>
      </c>
      <c r="B109" s="2" t="str">
        <f t="shared" si="2"/>
        <v>ADN-P-108</v>
      </c>
      <c r="C109" s="2" t="s">
        <v>19</v>
      </c>
      <c r="D109" s="2" t="s">
        <v>221</v>
      </c>
      <c r="E109" s="2" t="s">
        <v>569</v>
      </c>
      <c r="F109" s="2" t="s">
        <v>567</v>
      </c>
      <c r="G109" s="2" t="s">
        <v>566</v>
      </c>
      <c r="H109" s="2" t="s">
        <v>565</v>
      </c>
      <c r="I109" s="2" t="s">
        <v>564</v>
      </c>
      <c r="J109" s="2" t="s">
        <v>1201</v>
      </c>
      <c r="K109" s="2">
        <v>294.75</v>
      </c>
      <c r="L109" s="2">
        <v>113.09</v>
      </c>
      <c r="M109" s="2">
        <v>226.18</v>
      </c>
      <c r="N109" s="2">
        <v>1806</v>
      </c>
      <c r="O109" s="2">
        <v>1985</v>
      </c>
      <c r="P109" s="2">
        <f t="shared" si="3"/>
        <v>3791</v>
      </c>
      <c r="Q109" s="2" t="s">
        <v>86</v>
      </c>
      <c r="R109" s="2">
        <v>1</v>
      </c>
      <c r="S109" s="2">
        <v>1</v>
      </c>
      <c r="T109" s="2">
        <v>2</v>
      </c>
      <c r="U109" s="2">
        <v>0</v>
      </c>
      <c r="V109" s="2">
        <v>0</v>
      </c>
      <c r="W109" s="2">
        <v>7</v>
      </c>
      <c r="X109" s="2">
        <v>6</v>
      </c>
      <c r="Y109" s="2">
        <v>0</v>
      </c>
      <c r="Z109" s="2">
        <v>1</v>
      </c>
      <c r="AA109" s="2">
        <v>5</v>
      </c>
      <c r="AB109" s="2">
        <v>0</v>
      </c>
      <c r="AC109" s="2">
        <v>0</v>
      </c>
      <c r="AD109" s="2">
        <v>0</v>
      </c>
      <c r="AE109" s="2">
        <v>9</v>
      </c>
      <c r="AF109" s="2">
        <v>9</v>
      </c>
      <c r="AG109" s="2">
        <v>36.1</v>
      </c>
      <c r="AH109" s="2">
        <v>0</v>
      </c>
      <c r="AI109" s="2">
        <v>0</v>
      </c>
      <c r="AJ109" s="2">
        <v>2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3">
        <f>DATE(BE109, MATCH(TRIM(BD109), {"ENERO";"FEBRERO";"MARZO";"ABRIL";"MAYO";"JUNIO";"JULIO";"AGOSTO";"SEPTIEMBRE";"OCTUBRE";"NOVIEMBRE";"DICIEMBRE"}, 0), BC109)</f>
        <v>44884</v>
      </c>
      <c r="BC109" s="2">
        <v>19</v>
      </c>
      <c r="BD109" s="2" t="s">
        <v>20</v>
      </c>
      <c r="BE109" s="2">
        <v>2022</v>
      </c>
      <c r="BF109" s="2"/>
      <c r="BG109" s="2">
        <v>1</v>
      </c>
      <c r="BH109" s="2">
        <v>1</v>
      </c>
      <c r="BI109" s="2" t="s">
        <v>1</v>
      </c>
      <c r="BJ109" s="2" t="s">
        <v>0</v>
      </c>
      <c r="BK109" s="2"/>
      <c r="BL109" s="2"/>
    </row>
    <row r="110" spans="1:64" ht="18.75" x14ac:dyDescent="0.25">
      <c r="A110" s="2">
        <v>109</v>
      </c>
      <c r="B110" s="2" t="str">
        <f t="shared" si="2"/>
        <v>ADN-P-109</v>
      </c>
      <c r="C110" s="2" t="s">
        <v>19</v>
      </c>
      <c r="D110" s="2" t="s">
        <v>221</v>
      </c>
      <c r="E110" s="2" t="s">
        <v>568</v>
      </c>
      <c r="F110" s="2" t="s">
        <v>567</v>
      </c>
      <c r="G110" s="2" t="s">
        <v>566</v>
      </c>
      <c r="H110" s="2" t="s">
        <v>565</v>
      </c>
      <c r="I110" s="2" t="s">
        <v>564</v>
      </c>
      <c r="J110" s="2" t="s">
        <v>1201</v>
      </c>
      <c r="K110" s="2">
        <v>112.91</v>
      </c>
      <c r="L110" s="2">
        <v>44.18</v>
      </c>
      <c r="M110" s="2">
        <v>88.36</v>
      </c>
      <c r="N110" s="2">
        <v>1806</v>
      </c>
      <c r="O110" s="2">
        <v>1985</v>
      </c>
      <c r="P110" s="2">
        <f t="shared" si="3"/>
        <v>3791</v>
      </c>
      <c r="Q110" s="2" t="s">
        <v>192</v>
      </c>
      <c r="R110" s="2">
        <v>1</v>
      </c>
      <c r="S110" s="2">
        <v>1</v>
      </c>
      <c r="T110" s="2">
        <v>0</v>
      </c>
      <c r="U110" s="2">
        <v>0</v>
      </c>
      <c r="V110" s="2">
        <v>0</v>
      </c>
      <c r="W110" s="2">
        <v>2</v>
      </c>
      <c r="X110" s="2">
        <v>2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1</v>
      </c>
      <c r="AF110" s="2">
        <v>43</v>
      </c>
      <c r="AG110" s="2">
        <v>0</v>
      </c>
      <c r="AH110" s="2">
        <v>0</v>
      </c>
      <c r="AI110" s="2">
        <v>2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3">
        <f>DATE(BE110, MATCH(TRIM(BD110), {"ENERO";"FEBRERO";"MARZO";"ABRIL";"MAYO";"JUNIO";"JULIO";"AGOSTO";"SEPTIEMBRE";"OCTUBRE";"NOVIEMBRE";"DICIEMBRE"}, 0), BC110)</f>
        <v>44884</v>
      </c>
      <c r="BC110" s="2">
        <v>19</v>
      </c>
      <c r="BD110" s="2" t="s">
        <v>20</v>
      </c>
      <c r="BE110" s="2">
        <v>2022</v>
      </c>
      <c r="BF110" s="2"/>
      <c r="BG110" s="2">
        <v>1</v>
      </c>
      <c r="BH110" s="2">
        <v>1</v>
      </c>
      <c r="BI110" s="2" t="s">
        <v>143</v>
      </c>
      <c r="BJ110" s="2" t="s">
        <v>0</v>
      </c>
      <c r="BK110" s="2"/>
      <c r="BL110" s="2"/>
    </row>
    <row r="111" spans="1:64" ht="18.75" x14ac:dyDescent="0.25">
      <c r="A111" s="2">
        <v>110</v>
      </c>
      <c r="B111" s="2" t="str">
        <f t="shared" si="2"/>
        <v>ADN-P-110</v>
      </c>
      <c r="C111" s="2" t="s">
        <v>19</v>
      </c>
      <c r="D111" s="2" t="s">
        <v>47</v>
      </c>
      <c r="E111" s="2" t="s">
        <v>563</v>
      </c>
      <c r="F111" s="2" t="s">
        <v>558</v>
      </c>
      <c r="G111" s="2" t="s">
        <v>562</v>
      </c>
      <c r="H111" s="2" t="s">
        <v>561</v>
      </c>
      <c r="I111" s="2" t="s">
        <v>560</v>
      </c>
      <c r="J111" s="2" t="s">
        <v>398</v>
      </c>
      <c r="K111" s="2">
        <v>1000</v>
      </c>
      <c r="L111" s="2">
        <v>172.7</v>
      </c>
      <c r="M111" s="2">
        <v>345.4</v>
      </c>
      <c r="N111" s="2">
        <v>5014</v>
      </c>
      <c r="O111" s="2">
        <v>5612</v>
      </c>
      <c r="P111" s="2">
        <f t="shared" si="3"/>
        <v>10626</v>
      </c>
      <c r="Q111" s="2" t="s">
        <v>86</v>
      </c>
      <c r="R111" s="2">
        <v>1</v>
      </c>
      <c r="S111" s="2">
        <v>1</v>
      </c>
      <c r="T111" s="2">
        <v>4</v>
      </c>
      <c r="U111" s="2">
        <v>0</v>
      </c>
      <c r="V111" s="2">
        <v>0</v>
      </c>
      <c r="W111" s="2">
        <v>8</v>
      </c>
      <c r="X111" s="2">
        <v>9</v>
      </c>
      <c r="Y111" s="2">
        <v>0</v>
      </c>
      <c r="Z111" s="2">
        <v>3</v>
      </c>
      <c r="AA111" s="2">
        <v>0</v>
      </c>
      <c r="AB111" s="2">
        <v>0</v>
      </c>
      <c r="AC111" s="2">
        <v>2</v>
      </c>
      <c r="AD111" s="2">
        <v>0</v>
      </c>
      <c r="AE111" s="2">
        <v>13</v>
      </c>
      <c r="AF111" s="2">
        <v>13</v>
      </c>
      <c r="AG111" s="2">
        <v>234.3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3">
        <f>DATE(BE111, MATCH(TRIM(BD111), {"ENERO";"FEBRERO";"MARZO";"ABRIL";"MAYO";"JUNIO";"JULIO";"AGOSTO";"SEPTIEMBRE";"OCTUBRE";"NOVIEMBRE";"DICIEMBRE"}, 0), BC111)</f>
        <v>44889</v>
      </c>
      <c r="BC111" s="2">
        <v>24</v>
      </c>
      <c r="BD111" s="2" t="s">
        <v>20</v>
      </c>
      <c r="BE111" s="2">
        <v>2022</v>
      </c>
      <c r="BF111" s="2"/>
      <c r="BG111" s="2">
        <v>1</v>
      </c>
      <c r="BH111" s="2">
        <v>1</v>
      </c>
      <c r="BI111" s="2" t="s">
        <v>143</v>
      </c>
      <c r="BJ111" s="2" t="s">
        <v>0</v>
      </c>
      <c r="BK111" s="2"/>
      <c r="BL111" s="2"/>
    </row>
    <row r="112" spans="1:64" ht="18.75" x14ac:dyDescent="0.25">
      <c r="A112" s="2">
        <v>111</v>
      </c>
      <c r="B112" s="2" t="str">
        <f t="shared" si="2"/>
        <v>ADN-P-111</v>
      </c>
      <c r="C112" s="2" t="s">
        <v>19</v>
      </c>
      <c r="D112" s="2" t="s">
        <v>47</v>
      </c>
      <c r="E112" s="2" t="s">
        <v>559</v>
      </c>
      <c r="F112" s="2" t="s">
        <v>558</v>
      </c>
      <c r="G112" s="2" t="s">
        <v>557</v>
      </c>
      <c r="H112" s="2" t="s">
        <v>556</v>
      </c>
      <c r="I112" s="2" t="s">
        <v>555</v>
      </c>
      <c r="J112" s="2" t="s">
        <v>398</v>
      </c>
      <c r="K112" s="2">
        <v>163.03</v>
      </c>
      <c r="L112" s="2">
        <v>57.42</v>
      </c>
      <c r="M112" s="2">
        <v>114.84</v>
      </c>
      <c r="N112" s="2">
        <v>5014</v>
      </c>
      <c r="O112" s="2">
        <v>5612</v>
      </c>
      <c r="P112" s="2">
        <f t="shared" si="3"/>
        <v>10626</v>
      </c>
      <c r="Q112" s="2" t="s">
        <v>58</v>
      </c>
      <c r="R112" s="2">
        <v>0</v>
      </c>
      <c r="S112" s="2">
        <v>0</v>
      </c>
      <c r="T112" s="2">
        <v>2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3</v>
      </c>
      <c r="AF112" s="2">
        <v>15</v>
      </c>
      <c r="AG112" s="2">
        <v>43.6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3">
        <f>DATE(BE112, MATCH(TRIM(BD112), {"ENERO";"FEBRERO";"MARZO";"ABRIL";"MAYO";"JUNIO";"JULIO";"AGOSTO";"SEPTIEMBRE";"OCTUBRE";"NOVIEMBRE";"DICIEMBRE"}, 0), BC112)</f>
        <v>44889</v>
      </c>
      <c r="BC112" s="2">
        <v>24</v>
      </c>
      <c r="BD112" s="2" t="s">
        <v>20</v>
      </c>
      <c r="BE112" s="2">
        <v>2022</v>
      </c>
      <c r="BF112" s="2"/>
      <c r="BG112" s="2">
        <v>1</v>
      </c>
      <c r="BH112" s="2">
        <v>2</v>
      </c>
      <c r="BI112" s="2" t="s">
        <v>1</v>
      </c>
      <c r="BJ112" s="2" t="s">
        <v>0</v>
      </c>
      <c r="BK112" s="2"/>
      <c r="BL112" s="2"/>
    </row>
    <row r="113" spans="1:64" ht="18.75" x14ac:dyDescent="0.25">
      <c r="A113" s="2">
        <v>112</v>
      </c>
      <c r="B113" s="2" t="str">
        <f t="shared" si="2"/>
        <v>ADN-P-112</v>
      </c>
      <c r="C113" s="2" t="s">
        <v>19</v>
      </c>
      <c r="D113" s="2" t="s">
        <v>111</v>
      </c>
      <c r="E113" s="2" t="s">
        <v>554</v>
      </c>
      <c r="F113" s="2" t="s">
        <v>307</v>
      </c>
      <c r="G113" s="2" t="s">
        <v>306</v>
      </c>
      <c r="H113" s="2" t="s">
        <v>305</v>
      </c>
      <c r="I113" s="2" t="s">
        <v>304</v>
      </c>
      <c r="J113" s="2" t="s">
        <v>303</v>
      </c>
      <c r="K113" s="2">
        <v>1206.5899999999999</v>
      </c>
      <c r="L113" s="2">
        <v>24.58</v>
      </c>
      <c r="M113" s="2">
        <v>49.16</v>
      </c>
      <c r="N113" s="2">
        <v>85</v>
      </c>
      <c r="O113" s="2">
        <v>18</v>
      </c>
      <c r="P113" s="2">
        <f t="shared" si="3"/>
        <v>103</v>
      </c>
      <c r="Q113" s="2" t="s">
        <v>86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3">
        <f>DATE(BE113, MATCH(TRIM(BD113), {"ENERO";"FEBRERO";"MARZO";"ABRIL";"MAYO";"JUNIO";"JULIO";"AGOSTO";"SEPTIEMBRE";"OCTUBRE";"NOVIEMBRE";"DICIEMBRE"}, 0), BC113)</f>
        <v>44897</v>
      </c>
      <c r="BC113" s="2">
        <v>2</v>
      </c>
      <c r="BD113" s="2" t="s">
        <v>2</v>
      </c>
      <c r="BE113" s="2">
        <v>2022</v>
      </c>
      <c r="BF113" s="2"/>
      <c r="BG113" s="2">
        <v>1</v>
      </c>
      <c r="BH113" s="2">
        <v>1</v>
      </c>
      <c r="BI113" s="2" t="s">
        <v>1</v>
      </c>
      <c r="BJ113" s="2" t="s">
        <v>0</v>
      </c>
      <c r="BK113" s="2"/>
      <c r="BL113" s="2"/>
    </row>
    <row r="114" spans="1:64" ht="18.75" x14ac:dyDescent="0.25">
      <c r="A114" s="2">
        <v>113</v>
      </c>
      <c r="B114" s="2" t="str">
        <f t="shared" si="2"/>
        <v>ADN-P-113</v>
      </c>
      <c r="C114" s="2" t="s">
        <v>9</v>
      </c>
      <c r="D114" s="2" t="s">
        <v>78</v>
      </c>
      <c r="E114" s="2" t="s">
        <v>553</v>
      </c>
      <c r="F114" s="2" t="s">
        <v>552</v>
      </c>
      <c r="G114" s="2" t="s">
        <v>551</v>
      </c>
      <c r="H114" s="2" t="s">
        <v>550</v>
      </c>
      <c r="I114" s="2" t="s">
        <v>549</v>
      </c>
      <c r="J114" s="2" t="s">
        <v>245</v>
      </c>
      <c r="K114" s="2">
        <v>1765.15</v>
      </c>
      <c r="L114" s="2">
        <v>224.29</v>
      </c>
      <c r="M114" s="2">
        <v>448.58</v>
      </c>
      <c r="N114" s="2">
        <v>1964</v>
      </c>
      <c r="O114" s="2">
        <v>2426</v>
      </c>
      <c r="P114" s="2">
        <f t="shared" si="3"/>
        <v>4390</v>
      </c>
      <c r="Q114" s="2" t="s">
        <v>192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7</v>
      </c>
      <c r="AF114" s="2">
        <v>9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3">
        <f>DATE(BE114, MATCH(TRIM(BD114), {"ENERO";"FEBRERO";"MARZO";"ABRIL";"MAYO";"JUNIO";"JULIO";"AGOSTO";"SEPTIEMBRE";"OCTUBRE";"NOVIEMBRE";"DICIEMBRE"}, 0), BC114)</f>
        <v>44900</v>
      </c>
      <c r="BC114" s="2">
        <v>5</v>
      </c>
      <c r="BD114" s="2" t="s">
        <v>2</v>
      </c>
      <c r="BE114" s="2">
        <v>2022</v>
      </c>
      <c r="BF114" s="2"/>
      <c r="BG114" s="2">
        <v>2</v>
      </c>
      <c r="BH114" s="2">
        <v>2</v>
      </c>
      <c r="BI114" s="2" t="s">
        <v>1</v>
      </c>
      <c r="BJ114" s="2" t="s">
        <v>0</v>
      </c>
      <c r="BK114" s="2"/>
      <c r="BL114" s="2"/>
    </row>
    <row r="115" spans="1:64" ht="18.75" x14ac:dyDescent="0.25">
      <c r="A115" s="2">
        <v>114</v>
      </c>
      <c r="B115" s="2" t="str">
        <f t="shared" si="2"/>
        <v>ADN-P-114</v>
      </c>
      <c r="C115" s="2" t="s">
        <v>19</v>
      </c>
      <c r="D115" s="2" t="s">
        <v>25</v>
      </c>
      <c r="E115" s="2" t="s">
        <v>548</v>
      </c>
      <c r="F115" s="2" t="s">
        <v>546</v>
      </c>
      <c r="G115" s="2" t="s">
        <v>545</v>
      </c>
      <c r="H115" s="2" t="s">
        <v>544</v>
      </c>
      <c r="I115" s="2" t="s">
        <v>543</v>
      </c>
      <c r="J115" s="2" t="s">
        <v>65</v>
      </c>
      <c r="K115" s="2">
        <v>1045.8900000000001</v>
      </c>
      <c r="L115" s="2">
        <v>514.01</v>
      </c>
      <c r="M115" s="2">
        <v>1028.02</v>
      </c>
      <c r="N115" s="2">
        <v>2650</v>
      </c>
      <c r="O115" s="2">
        <v>3045</v>
      </c>
      <c r="P115" s="2">
        <f t="shared" si="3"/>
        <v>5695</v>
      </c>
      <c r="Q115" s="2" t="s">
        <v>58</v>
      </c>
      <c r="R115" s="2">
        <v>1</v>
      </c>
      <c r="S115" s="2">
        <v>0</v>
      </c>
      <c r="T115" s="2">
        <v>4</v>
      </c>
      <c r="U115" s="2">
        <v>0</v>
      </c>
      <c r="V115" s="2">
        <v>0</v>
      </c>
      <c r="W115" s="2">
        <v>6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19</v>
      </c>
      <c r="AF115" s="2">
        <v>31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3">
        <f>DATE(BE115, MATCH(TRIM(BD115), {"ENERO";"FEBRERO";"MARZO";"ABRIL";"MAYO";"JUNIO";"JULIO";"AGOSTO";"SEPTIEMBRE";"OCTUBRE";"NOVIEMBRE";"DICIEMBRE"}, 0), BC115)</f>
        <v>44902</v>
      </c>
      <c r="BC115" s="2">
        <v>7</v>
      </c>
      <c r="BD115" s="2" t="s">
        <v>2</v>
      </c>
      <c r="BE115" s="2">
        <v>2022</v>
      </c>
      <c r="BF115" s="2"/>
      <c r="BG115" s="2">
        <v>1</v>
      </c>
      <c r="BH115" s="2">
        <v>2</v>
      </c>
      <c r="BI115" s="2" t="s">
        <v>1</v>
      </c>
      <c r="BJ115" s="2" t="s">
        <v>0</v>
      </c>
      <c r="BK115" s="2"/>
      <c r="BL115" s="2"/>
    </row>
    <row r="116" spans="1:64" ht="18.75" x14ac:dyDescent="0.25">
      <c r="A116" s="2">
        <v>115</v>
      </c>
      <c r="B116" s="2" t="str">
        <f t="shared" si="2"/>
        <v>ADN-P-115</v>
      </c>
      <c r="C116" s="2" t="s">
        <v>19</v>
      </c>
      <c r="D116" s="2" t="s">
        <v>25</v>
      </c>
      <c r="E116" s="2" t="s">
        <v>547</v>
      </c>
      <c r="F116" s="2" t="s">
        <v>546</v>
      </c>
      <c r="G116" s="2" t="s">
        <v>545</v>
      </c>
      <c r="H116" s="2" t="s">
        <v>544</v>
      </c>
      <c r="I116" s="2" t="s">
        <v>543</v>
      </c>
      <c r="J116" s="2" t="s">
        <v>65</v>
      </c>
      <c r="K116" s="2">
        <v>1108.82</v>
      </c>
      <c r="L116" s="2">
        <v>506.36</v>
      </c>
      <c r="M116" s="2">
        <v>1012.72</v>
      </c>
      <c r="N116" s="2">
        <v>2650</v>
      </c>
      <c r="O116" s="2">
        <v>3045</v>
      </c>
      <c r="P116" s="2">
        <f t="shared" si="3"/>
        <v>5695</v>
      </c>
      <c r="Q116" s="2" t="s">
        <v>58</v>
      </c>
      <c r="R116" s="2">
        <v>1</v>
      </c>
      <c r="S116" s="2">
        <v>0</v>
      </c>
      <c r="T116" s="2">
        <v>4</v>
      </c>
      <c r="U116" s="2">
        <v>0</v>
      </c>
      <c r="V116" s="2">
        <v>0</v>
      </c>
      <c r="W116" s="2">
        <v>5</v>
      </c>
      <c r="X116" s="2">
        <v>0</v>
      </c>
      <c r="Y116" s="2">
        <v>0</v>
      </c>
      <c r="Z116" s="2">
        <v>0</v>
      </c>
      <c r="AA116" s="2">
        <v>0</v>
      </c>
      <c r="AB116" s="2">
        <v>6</v>
      </c>
      <c r="AC116" s="2">
        <v>0</v>
      </c>
      <c r="AD116" s="2">
        <v>0</v>
      </c>
      <c r="AE116" s="2">
        <v>26</v>
      </c>
      <c r="AF116" s="2">
        <v>37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3">
        <f>DATE(BE116, MATCH(TRIM(BD116), {"ENERO";"FEBRERO";"MARZO";"ABRIL";"MAYO";"JUNIO";"JULIO";"AGOSTO";"SEPTIEMBRE";"OCTUBRE";"NOVIEMBRE";"DICIEMBRE"}, 0), BC116)</f>
        <v>44902</v>
      </c>
      <c r="BC116" s="2">
        <v>7</v>
      </c>
      <c r="BD116" s="2" t="s">
        <v>2</v>
      </c>
      <c r="BE116" s="2">
        <v>2022</v>
      </c>
      <c r="BF116" s="2"/>
      <c r="BG116" s="2">
        <v>1</v>
      </c>
      <c r="BH116" s="2">
        <v>2</v>
      </c>
      <c r="BI116" s="2" t="s">
        <v>1</v>
      </c>
      <c r="BJ116" s="2" t="s">
        <v>0</v>
      </c>
      <c r="BK116" s="2"/>
      <c r="BL116" s="2"/>
    </row>
    <row r="117" spans="1:64" ht="18.75" x14ac:dyDescent="0.25">
      <c r="A117" s="2">
        <v>116</v>
      </c>
      <c r="B117" s="2" t="str">
        <f t="shared" si="2"/>
        <v>ADN-P-116</v>
      </c>
      <c r="C117" s="2" t="s">
        <v>19</v>
      </c>
      <c r="D117" s="2" t="s">
        <v>47</v>
      </c>
      <c r="E117" s="2" t="s">
        <v>542</v>
      </c>
      <c r="F117" s="2" t="s">
        <v>541</v>
      </c>
      <c r="G117" s="2" t="s">
        <v>540</v>
      </c>
      <c r="H117" s="2" t="s">
        <v>539</v>
      </c>
      <c r="I117" s="2" t="s">
        <v>538</v>
      </c>
      <c r="J117" s="2" t="s">
        <v>537</v>
      </c>
      <c r="K117" s="2">
        <v>3728</v>
      </c>
      <c r="L117" s="2">
        <v>258.45</v>
      </c>
      <c r="M117" s="2">
        <v>516.9</v>
      </c>
      <c r="N117" s="2">
        <v>2347</v>
      </c>
      <c r="O117" s="2">
        <v>2904</v>
      </c>
      <c r="P117" s="2">
        <f t="shared" si="3"/>
        <v>5251</v>
      </c>
      <c r="Q117" s="2" t="s">
        <v>86</v>
      </c>
      <c r="R117" s="2">
        <v>1</v>
      </c>
      <c r="S117" s="2">
        <v>1</v>
      </c>
      <c r="T117" s="2">
        <v>4</v>
      </c>
      <c r="U117" s="2">
        <v>1</v>
      </c>
      <c r="V117" s="2">
        <v>0</v>
      </c>
      <c r="W117" s="2">
        <v>52</v>
      </c>
      <c r="X117" s="2">
        <v>17</v>
      </c>
      <c r="Y117" s="2">
        <v>3</v>
      </c>
      <c r="Z117" s="2">
        <v>8</v>
      </c>
      <c r="AA117" s="2">
        <v>11</v>
      </c>
      <c r="AB117" s="2">
        <v>0</v>
      </c>
      <c r="AC117" s="2">
        <v>0</v>
      </c>
      <c r="AD117" s="2">
        <v>1</v>
      </c>
      <c r="AE117" s="2">
        <v>24</v>
      </c>
      <c r="AF117" s="2">
        <v>28</v>
      </c>
      <c r="AG117" s="2" t="s">
        <v>536</v>
      </c>
      <c r="AH117" s="2">
        <v>0</v>
      </c>
      <c r="AI117" s="2">
        <v>5</v>
      </c>
      <c r="AJ117" s="2">
        <v>10</v>
      </c>
      <c r="AK117" s="2">
        <v>0</v>
      </c>
      <c r="AL117" s="2">
        <v>0</v>
      </c>
      <c r="AM117" s="2">
        <v>1</v>
      </c>
      <c r="AN117" s="2">
        <v>0</v>
      </c>
      <c r="AO117" s="2">
        <v>0</v>
      </c>
      <c r="AP117" s="2">
        <v>1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3">
        <f>DATE(BE117, MATCH(TRIM(BD117), {"ENERO";"FEBRERO";"MARZO";"ABRIL";"MAYO";"JUNIO";"JULIO";"AGOSTO";"SEPTIEMBRE";"OCTUBRE";"NOVIEMBRE";"DICIEMBRE"}, 0), BC117)</f>
        <v>44902</v>
      </c>
      <c r="BC117" s="2">
        <v>7</v>
      </c>
      <c r="BD117" s="2" t="s">
        <v>2</v>
      </c>
      <c r="BE117" s="2">
        <v>2022</v>
      </c>
      <c r="BF117" s="2"/>
      <c r="BG117" s="2">
        <v>1</v>
      </c>
      <c r="BH117" s="2">
        <v>1</v>
      </c>
      <c r="BI117" s="2" t="s">
        <v>143</v>
      </c>
      <c r="BJ117" s="2" t="s">
        <v>0</v>
      </c>
      <c r="BK117" s="2"/>
      <c r="BL117" s="2"/>
    </row>
    <row r="118" spans="1:64" ht="18.75" x14ac:dyDescent="0.25">
      <c r="A118" s="2">
        <v>117</v>
      </c>
      <c r="B118" s="2" t="str">
        <f t="shared" si="2"/>
        <v>ADN-P-117</v>
      </c>
      <c r="C118" s="2" t="s">
        <v>19</v>
      </c>
      <c r="D118" s="2" t="s">
        <v>111</v>
      </c>
      <c r="E118" s="2" t="s">
        <v>535</v>
      </c>
      <c r="F118" s="2" t="s">
        <v>534</v>
      </c>
      <c r="G118" s="2" t="s">
        <v>533</v>
      </c>
      <c r="H118" s="2" t="s">
        <v>532</v>
      </c>
      <c r="I118" s="2" t="s">
        <v>531</v>
      </c>
      <c r="J118" s="2" t="s">
        <v>105</v>
      </c>
      <c r="K118" s="2">
        <v>70</v>
      </c>
      <c r="L118" s="2">
        <v>17.72</v>
      </c>
      <c r="M118" s="2">
        <v>35.44</v>
      </c>
      <c r="N118" s="2">
        <v>2703</v>
      </c>
      <c r="O118" s="2">
        <v>3203</v>
      </c>
      <c r="P118" s="2">
        <f t="shared" si="3"/>
        <v>5906</v>
      </c>
      <c r="Q118" s="2" t="s">
        <v>58</v>
      </c>
      <c r="R118" s="2">
        <v>1</v>
      </c>
      <c r="S118" s="2">
        <v>0</v>
      </c>
      <c r="T118" s="2">
        <v>1</v>
      </c>
      <c r="U118" s="2">
        <v>0</v>
      </c>
      <c r="V118" s="2">
        <v>0</v>
      </c>
      <c r="W118" s="2">
        <v>3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3</v>
      </c>
      <c r="AF118" s="2">
        <v>3</v>
      </c>
      <c r="AG118" s="2">
        <v>25</v>
      </c>
      <c r="AH118" s="2">
        <v>0</v>
      </c>
      <c r="AI118" s="2">
        <v>0</v>
      </c>
      <c r="AJ118" s="2">
        <v>3</v>
      </c>
      <c r="AK118" s="2">
        <v>0</v>
      </c>
      <c r="AL118" s="2">
        <v>3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3">
        <f>DATE(BE118, MATCH(TRIM(BD118), {"ENERO";"FEBRERO";"MARZO";"ABRIL";"MAYO";"JUNIO";"JULIO";"AGOSTO";"SEPTIEMBRE";"OCTUBRE";"NOVIEMBRE";"DICIEMBRE"}, 0), BC118)</f>
        <v>44912</v>
      </c>
      <c r="BC118" s="2">
        <v>17</v>
      </c>
      <c r="BD118" s="2" t="s">
        <v>2</v>
      </c>
      <c r="BE118" s="2">
        <v>2022</v>
      </c>
      <c r="BF118" s="2"/>
      <c r="BG118" s="2">
        <v>1</v>
      </c>
      <c r="BH118" s="2">
        <v>2</v>
      </c>
      <c r="BI118" s="2" t="s">
        <v>1</v>
      </c>
      <c r="BJ118" s="2" t="s">
        <v>0</v>
      </c>
      <c r="BK118" s="2"/>
      <c r="BL118" s="2"/>
    </row>
    <row r="119" spans="1:64" ht="18.75" x14ac:dyDescent="0.25">
      <c r="A119" s="2">
        <v>118</v>
      </c>
      <c r="B119" s="2" t="str">
        <f t="shared" si="2"/>
        <v>ADN-P-118</v>
      </c>
      <c r="C119" s="2" t="s">
        <v>9</v>
      </c>
      <c r="D119" s="2" t="s">
        <v>32</v>
      </c>
      <c r="E119" s="2" t="s">
        <v>530</v>
      </c>
      <c r="F119" s="2" t="s">
        <v>529</v>
      </c>
      <c r="G119" s="2" t="s">
        <v>528</v>
      </c>
      <c r="H119" s="2" t="s">
        <v>527</v>
      </c>
      <c r="I119" s="2" t="s">
        <v>526</v>
      </c>
      <c r="J119" s="2" t="s">
        <v>525</v>
      </c>
      <c r="K119" s="2">
        <v>63.1</v>
      </c>
      <c r="L119" s="2">
        <v>19.22</v>
      </c>
      <c r="M119" s="2">
        <v>38.44</v>
      </c>
      <c r="N119" s="2">
        <v>24591</v>
      </c>
      <c r="O119" s="2">
        <v>26673</v>
      </c>
      <c r="P119" s="2">
        <f t="shared" si="3"/>
        <v>51264</v>
      </c>
      <c r="Q119" s="2" t="s">
        <v>58</v>
      </c>
      <c r="R119" s="2">
        <v>1</v>
      </c>
      <c r="S119" s="2">
        <v>0</v>
      </c>
      <c r="T119" s="2">
        <v>1</v>
      </c>
      <c r="U119" s="2">
        <v>0</v>
      </c>
      <c r="V119" s="2">
        <v>0</v>
      </c>
      <c r="W119" s="2">
        <v>2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2</v>
      </c>
      <c r="AF119" s="2">
        <v>2</v>
      </c>
      <c r="AG119" s="2">
        <v>35</v>
      </c>
      <c r="AH119" s="2">
        <v>0</v>
      </c>
      <c r="AI119" s="2">
        <v>0</v>
      </c>
      <c r="AJ119" s="2">
        <v>1</v>
      </c>
      <c r="AK119" s="2">
        <v>0</v>
      </c>
      <c r="AL119" s="2">
        <v>1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3">
        <f>DATE(BE119, MATCH(TRIM(BD119), {"ENERO";"FEBRERO";"MARZO";"ABRIL";"MAYO";"JUNIO";"JULIO";"AGOSTO";"SEPTIEMBRE";"OCTUBRE";"NOVIEMBRE";"DICIEMBRE"}, 0), BC119)</f>
        <v>44913</v>
      </c>
      <c r="BC119" s="2">
        <v>18</v>
      </c>
      <c r="BD119" s="2" t="s">
        <v>2</v>
      </c>
      <c r="BE119" s="2">
        <v>2022</v>
      </c>
      <c r="BF119" s="2"/>
      <c r="BG119" s="2">
        <v>2</v>
      </c>
      <c r="BH119" s="2">
        <v>2</v>
      </c>
      <c r="BI119" s="2" t="s">
        <v>1</v>
      </c>
      <c r="BJ119" s="2" t="s">
        <v>0</v>
      </c>
      <c r="BK119" s="2"/>
      <c r="BL119" s="2"/>
    </row>
    <row r="120" spans="1:64" ht="18.75" x14ac:dyDescent="0.25">
      <c r="A120" s="2">
        <v>119</v>
      </c>
      <c r="B120" s="2" t="str">
        <f t="shared" si="2"/>
        <v>ADN-P-119</v>
      </c>
      <c r="C120" s="2" t="s">
        <v>19</v>
      </c>
      <c r="D120" s="2" t="s">
        <v>47</v>
      </c>
      <c r="E120" s="2" t="s">
        <v>524</v>
      </c>
      <c r="F120" s="2" t="s">
        <v>523</v>
      </c>
      <c r="G120" s="2" t="s">
        <v>522</v>
      </c>
      <c r="H120" s="2" t="s">
        <v>521</v>
      </c>
      <c r="I120" s="2" t="s">
        <v>520</v>
      </c>
      <c r="J120" s="2" t="s">
        <v>519</v>
      </c>
      <c r="K120" s="2">
        <v>969.01</v>
      </c>
      <c r="L120" s="2">
        <v>87.96</v>
      </c>
      <c r="M120" s="2">
        <v>175.92</v>
      </c>
      <c r="N120" s="2">
        <v>5014</v>
      </c>
      <c r="O120" s="2">
        <v>5612</v>
      </c>
      <c r="P120" s="2">
        <f t="shared" si="3"/>
        <v>10626</v>
      </c>
      <c r="Q120" s="2" t="s">
        <v>86</v>
      </c>
      <c r="R120" s="2">
        <v>2</v>
      </c>
      <c r="S120" s="2">
        <v>0</v>
      </c>
      <c r="T120" s="2">
        <v>2</v>
      </c>
      <c r="U120" s="2">
        <v>18</v>
      </c>
      <c r="V120" s="2">
        <v>0</v>
      </c>
      <c r="W120" s="2">
        <v>3</v>
      </c>
      <c r="X120" s="2">
        <v>0</v>
      </c>
      <c r="Y120" s="2">
        <v>0</v>
      </c>
      <c r="Z120" s="2">
        <v>2</v>
      </c>
      <c r="AA120" s="2">
        <v>6</v>
      </c>
      <c r="AB120" s="2">
        <v>0</v>
      </c>
      <c r="AC120" s="2">
        <v>0</v>
      </c>
      <c r="AD120" s="2">
        <v>0</v>
      </c>
      <c r="AE120" s="2">
        <v>7</v>
      </c>
      <c r="AF120" s="2">
        <v>17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3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3">
        <f>DATE(BE120, MATCH(TRIM(BD120), {"ENERO";"FEBRERO";"MARZO";"ABRIL";"MAYO";"JUNIO";"JULIO";"AGOSTO";"SEPTIEMBRE";"OCTUBRE";"NOVIEMBRE";"DICIEMBRE"}, 0), BC120)</f>
        <v>44918</v>
      </c>
      <c r="BC120" s="2">
        <v>23</v>
      </c>
      <c r="BD120" s="2" t="s">
        <v>2</v>
      </c>
      <c r="BE120" s="2">
        <v>2022</v>
      </c>
      <c r="BF120" s="2"/>
      <c r="BG120" s="2">
        <v>1</v>
      </c>
      <c r="BH120" s="2">
        <v>1</v>
      </c>
      <c r="BI120" s="2" t="s">
        <v>48</v>
      </c>
      <c r="BJ120" s="2" t="s">
        <v>0</v>
      </c>
      <c r="BK120" s="2"/>
      <c r="BL120" s="2"/>
    </row>
    <row r="121" spans="1:64" ht="18.75" x14ac:dyDescent="0.25">
      <c r="A121" s="2">
        <v>120</v>
      </c>
      <c r="B121" s="2" t="str">
        <f t="shared" si="2"/>
        <v>ADN-P-120</v>
      </c>
      <c r="C121" s="2" t="s">
        <v>19</v>
      </c>
      <c r="D121" s="2" t="s">
        <v>111</v>
      </c>
      <c r="E121" s="2" t="s">
        <v>518</v>
      </c>
      <c r="F121" s="2" t="s">
        <v>517</v>
      </c>
      <c r="G121" s="2" t="s">
        <v>516</v>
      </c>
      <c r="H121" s="2" t="s">
        <v>515</v>
      </c>
      <c r="I121" s="2" t="s">
        <v>514</v>
      </c>
      <c r="J121" s="2" t="s">
        <v>125</v>
      </c>
      <c r="K121" s="2">
        <v>50.18</v>
      </c>
      <c r="L121" s="2">
        <v>120.12</v>
      </c>
      <c r="M121" s="2">
        <v>240.24</v>
      </c>
      <c r="N121" s="2">
        <v>30</v>
      </c>
      <c r="O121" s="2">
        <v>35</v>
      </c>
      <c r="P121" s="2">
        <f t="shared" si="3"/>
        <v>65</v>
      </c>
      <c r="Q121" s="2" t="s">
        <v>192</v>
      </c>
      <c r="R121" s="2">
        <v>1</v>
      </c>
      <c r="S121" s="2">
        <v>0</v>
      </c>
      <c r="T121" s="2">
        <v>1</v>
      </c>
      <c r="U121" s="2">
        <v>0</v>
      </c>
      <c r="V121" s="2">
        <v>0</v>
      </c>
      <c r="W121" s="2">
        <v>3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10</v>
      </c>
      <c r="AG121" s="2">
        <v>0</v>
      </c>
      <c r="AH121" s="2">
        <v>0</v>
      </c>
      <c r="AI121" s="2">
        <v>0</v>
      </c>
      <c r="AJ121" s="2">
        <v>4</v>
      </c>
      <c r="AK121" s="2">
        <v>4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3">
        <f>DATE(BE121, MATCH(TRIM(BD121), {"ENERO";"FEBRERO";"MARZO";"ABRIL";"MAYO";"JUNIO";"JULIO";"AGOSTO";"SEPTIEMBRE";"OCTUBRE";"NOVIEMBRE";"DICIEMBRE"}, 0), BC121)</f>
        <v>44946</v>
      </c>
      <c r="BC121" s="2">
        <v>20</v>
      </c>
      <c r="BD121" s="2" t="s">
        <v>144</v>
      </c>
      <c r="BE121" s="2">
        <v>2023</v>
      </c>
      <c r="BF121" s="2"/>
      <c r="BG121" s="2">
        <v>1</v>
      </c>
      <c r="BH121" s="2">
        <v>1</v>
      </c>
      <c r="BI121" s="2" t="s">
        <v>143</v>
      </c>
      <c r="BJ121" s="2" t="s">
        <v>0</v>
      </c>
      <c r="BK121" s="2"/>
      <c r="BL121" s="2"/>
    </row>
    <row r="122" spans="1:64" ht="18.75" x14ac:dyDescent="0.25">
      <c r="A122" s="2">
        <v>121</v>
      </c>
      <c r="B122" s="2" t="str">
        <f t="shared" si="2"/>
        <v>ADN-P-121</v>
      </c>
      <c r="C122" s="2" t="s">
        <v>19</v>
      </c>
      <c r="D122" s="2" t="s">
        <v>47</v>
      </c>
      <c r="E122" s="2" t="s">
        <v>513</v>
      </c>
      <c r="F122" s="2" t="s">
        <v>512</v>
      </c>
      <c r="G122" s="2" t="s">
        <v>511</v>
      </c>
      <c r="H122" s="2" t="s">
        <v>510</v>
      </c>
      <c r="I122" s="2" t="s">
        <v>509</v>
      </c>
      <c r="J122" s="2" t="s">
        <v>508</v>
      </c>
      <c r="K122" s="2">
        <v>7681</v>
      </c>
      <c r="L122" s="2">
        <v>390.93</v>
      </c>
      <c r="M122" s="2">
        <v>781.86</v>
      </c>
      <c r="N122" s="2">
        <v>4426</v>
      </c>
      <c r="O122" s="2">
        <v>5362</v>
      </c>
      <c r="P122" s="2">
        <f t="shared" si="3"/>
        <v>9788</v>
      </c>
      <c r="Q122" s="2" t="s">
        <v>86</v>
      </c>
      <c r="R122" s="2">
        <v>0</v>
      </c>
      <c r="S122" s="2">
        <v>0</v>
      </c>
      <c r="T122" s="2">
        <v>0</v>
      </c>
      <c r="U122" s="2">
        <v>1</v>
      </c>
      <c r="V122" s="2">
        <v>0</v>
      </c>
      <c r="W122" s="2">
        <v>0</v>
      </c>
      <c r="X122" s="2">
        <v>4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15</v>
      </c>
      <c r="AG122" s="2">
        <v>0</v>
      </c>
      <c r="AH122" s="2">
        <v>0</v>
      </c>
      <c r="AI122" s="2">
        <v>1</v>
      </c>
      <c r="AJ122" s="2">
        <v>0</v>
      </c>
      <c r="AK122" s="2">
        <v>0</v>
      </c>
      <c r="AL122" s="2">
        <v>2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3">
        <f>DATE(BE122, MATCH(TRIM(BD122), {"ENERO";"FEBRERO";"MARZO";"ABRIL";"MAYO";"JUNIO";"JULIO";"AGOSTO";"SEPTIEMBRE";"OCTUBRE";"NOVIEMBRE";"DICIEMBRE"}, 0), BC122)</f>
        <v>44952</v>
      </c>
      <c r="BC122" s="2">
        <v>26</v>
      </c>
      <c r="BD122" s="2" t="s">
        <v>144</v>
      </c>
      <c r="BE122" s="2">
        <v>2023</v>
      </c>
      <c r="BF122" s="2"/>
      <c r="BG122" s="2">
        <v>1</v>
      </c>
      <c r="BH122" s="2">
        <v>1</v>
      </c>
      <c r="BI122" s="2" t="s">
        <v>143</v>
      </c>
      <c r="BJ122" s="2" t="s">
        <v>0</v>
      </c>
      <c r="BK122" s="2"/>
      <c r="BL122" s="2"/>
    </row>
    <row r="123" spans="1:64" ht="18.75" x14ac:dyDescent="0.25">
      <c r="A123" s="2">
        <v>122</v>
      </c>
      <c r="B123" s="2" t="str">
        <f t="shared" si="2"/>
        <v>ADN-P-122</v>
      </c>
      <c r="C123" s="2" t="s">
        <v>9</v>
      </c>
      <c r="D123" s="2" t="s">
        <v>32</v>
      </c>
      <c r="E123" s="2" t="s">
        <v>507</v>
      </c>
      <c r="F123" s="2" t="s">
        <v>506</v>
      </c>
      <c r="G123" s="2" t="s">
        <v>505</v>
      </c>
      <c r="H123" s="2" t="s">
        <v>504</v>
      </c>
      <c r="I123" s="2" t="s">
        <v>503</v>
      </c>
      <c r="J123" s="2" t="s">
        <v>204</v>
      </c>
      <c r="K123" s="2">
        <v>120</v>
      </c>
      <c r="L123" s="2">
        <v>48.64</v>
      </c>
      <c r="M123" s="2">
        <v>97.28</v>
      </c>
      <c r="N123" s="2">
        <v>24591</v>
      </c>
      <c r="O123" s="2">
        <v>26673</v>
      </c>
      <c r="P123" s="2">
        <f t="shared" si="3"/>
        <v>51264</v>
      </c>
      <c r="Q123" s="2" t="s">
        <v>58</v>
      </c>
      <c r="R123" s="2">
        <v>1</v>
      </c>
      <c r="S123" s="2">
        <v>0</v>
      </c>
      <c r="T123" s="2">
        <v>2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6</v>
      </c>
      <c r="AF123" s="2">
        <v>6</v>
      </c>
      <c r="AG123" s="2" t="s">
        <v>502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3">
        <f>DATE(BE123, MATCH(TRIM(BD123), {"ENERO";"FEBRERO";"MARZO";"ABRIL";"MAYO";"JUNIO";"JULIO";"AGOSTO";"SEPTIEMBRE";"OCTUBRE";"NOVIEMBRE";"DICIEMBRE"}, 0), BC123)</f>
        <v>44953</v>
      </c>
      <c r="BC123" s="2">
        <v>27</v>
      </c>
      <c r="BD123" s="2" t="s">
        <v>144</v>
      </c>
      <c r="BE123" s="2">
        <v>2023</v>
      </c>
      <c r="BF123" s="2"/>
      <c r="BG123" s="2">
        <v>2</v>
      </c>
      <c r="BH123" s="2">
        <v>2</v>
      </c>
      <c r="BI123" s="2" t="s">
        <v>1</v>
      </c>
      <c r="BJ123" s="2" t="s">
        <v>0</v>
      </c>
      <c r="BK123" s="2"/>
      <c r="BL123" s="2"/>
    </row>
    <row r="124" spans="1:64" ht="18.75" x14ac:dyDescent="0.25">
      <c r="A124" s="2">
        <v>123</v>
      </c>
      <c r="B124" s="2" t="str">
        <f t="shared" si="2"/>
        <v>ADN-P-123</v>
      </c>
      <c r="C124" s="2" t="s">
        <v>19</v>
      </c>
      <c r="D124" s="2" t="s">
        <v>25</v>
      </c>
      <c r="E124" s="2" t="s">
        <v>501</v>
      </c>
      <c r="F124" s="2" t="s">
        <v>500</v>
      </c>
      <c r="G124" s="2" t="s">
        <v>499</v>
      </c>
      <c r="H124" s="2" t="s">
        <v>498</v>
      </c>
      <c r="I124" s="2" t="s">
        <v>497</v>
      </c>
      <c r="J124" s="2" t="s">
        <v>198</v>
      </c>
      <c r="K124" s="2">
        <v>787.01</v>
      </c>
      <c r="L124" s="2">
        <v>0</v>
      </c>
      <c r="M124" s="2">
        <v>0</v>
      </c>
      <c r="N124" s="2">
        <v>2335</v>
      </c>
      <c r="O124" s="2">
        <v>2687</v>
      </c>
      <c r="P124" s="2">
        <f t="shared" si="3"/>
        <v>5022</v>
      </c>
      <c r="Q124" s="2" t="s">
        <v>86</v>
      </c>
      <c r="R124" s="2">
        <v>0</v>
      </c>
      <c r="S124" s="2">
        <v>4</v>
      </c>
      <c r="T124" s="2">
        <v>2</v>
      </c>
      <c r="U124" s="2">
        <v>0</v>
      </c>
      <c r="V124" s="2">
        <v>0</v>
      </c>
      <c r="W124" s="2">
        <v>2</v>
      </c>
      <c r="X124" s="2">
        <v>0</v>
      </c>
      <c r="Y124" s="2">
        <v>7</v>
      </c>
      <c r="Z124" s="2">
        <v>2</v>
      </c>
      <c r="AA124" s="2">
        <v>23</v>
      </c>
      <c r="AB124" s="2">
        <v>0</v>
      </c>
      <c r="AC124" s="2">
        <v>0</v>
      </c>
      <c r="AD124" s="2">
        <v>0</v>
      </c>
      <c r="AE124" s="2">
        <v>6</v>
      </c>
      <c r="AF124" s="2">
        <v>6</v>
      </c>
      <c r="AG124" s="2">
        <v>0</v>
      </c>
      <c r="AH124" s="2">
        <v>0</v>
      </c>
      <c r="AI124" s="2">
        <v>0</v>
      </c>
      <c r="AJ124" s="2">
        <v>5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1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3</v>
      </c>
      <c r="BA124" s="2">
        <v>0</v>
      </c>
      <c r="BB124" s="3">
        <f>DATE(BE124, MATCH(TRIM(BD124), {"ENERO";"FEBRERO";"MARZO";"ABRIL";"MAYO";"JUNIO";"JULIO";"AGOSTO";"SEPTIEMBRE";"OCTUBRE";"NOVIEMBRE";"DICIEMBRE"}, 0), BC124)</f>
        <v>44994</v>
      </c>
      <c r="BC124" s="2">
        <v>9</v>
      </c>
      <c r="BD124" s="2" t="s">
        <v>104</v>
      </c>
      <c r="BE124" s="2">
        <v>2023</v>
      </c>
      <c r="BF124" s="2"/>
      <c r="BG124" s="2">
        <v>1</v>
      </c>
      <c r="BH124" s="2">
        <v>2</v>
      </c>
      <c r="BI124" s="2" t="s">
        <v>1</v>
      </c>
      <c r="BJ124" s="2" t="s">
        <v>0</v>
      </c>
      <c r="BK124" s="2"/>
      <c r="BL124" s="2"/>
    </row>
    <row r="125" spans="1:64" ht="18.75" x14ac:dyDescent="0.25">
      <c r="A125" s="2">
        <v>124</v>
      </c>
      <c r="B125" s="2" t="str">
        <f t="shared" si="2"/>
        <v>ADN-P-124</v>
      </c>
      <c r="C125" s="2" t="s">
        <v>19</v>
      </c>
      <c r="D125" s="2" t="s">
        <v>25</v>
      </c>
      <c r="E125" s="2" t="s">
        <v>496</v>
      </c>
      <c r="F125" s="2" t="s">
        <v>495</v>
      </c>
      <c r="G125" s="2" t="s">
        <v>463</v>
      </c>
      <c r="H125" s="2" t="s">
        <v>462</v>
      </c>
      <c r="I125" s="2" t="s">
        <v>461</v>
      </c>
      <c r="J125" s="2" t="s">
        <v>466</v>
      </c>
      <c r="K125" s="2">
        <v>562.12</v>
      </c>
      <c r="L125" s="2">
        <v>273.95</v>
      </c>
      <c r="M125" s="2">
        <v>547.9</v>
      </c>
      <c r="N125" s="2">
        <v>7919</v>
      </c>
      <c r="O125" s="2">
        <v>9701</v>
      </c>
      <c r="P125" s="2">
        <f t="shared" si="3"/>
        <v>17620</v>
      </c>
      <c r="Q125" s="2" t="s">
        <v>58</v>
      </c>
      <c r="R125" s="2">
        <v>1</v>
      </c>
      <c r="S125" s="2">
        <v>0</v>
      </c>
      <c r="T125" s="2">
        <v>1</v>
      </c>
      <c r="U125" s="2">
        <v>0</v>
      </c>
      <c r="V125" s="2">
        <v>0</v>
      </c>
      <c r="W125" s="2">
        <v>2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6</v>
      </c>
      <c r="AF125" s="2">
        <v>6</v>
      </c>
      <c r="AG125" s="2">
        <v>68.37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3">
        <f>DATE(BE125, MATCH(TRIM(BD125), {"ENERO";"FEBRERO";"MARZO";"ABRIL";"MAYO";"JUNIO";"JULIO";"AGOSTO";"SEPTIEMBRE";"OCTUBRE";"NOVIEMBRE";"DICIEMBRE"}, 0), BC125)</f>
        <v>44995</v>
      </c>
      <c r="BC125" s="2">
        <v>10</v>
      </c>
      <c r="BD125" s="2" t="s">
        <v>104</v>
      </c>
      <c r="BE125" s="2">
        <v>2023</v>
      </c>
      <c r="BF125" s="2"/>
      <c r="BG125" s="2">
        <v>1</v>
      </c>
      <c r="BH125" s="2">
        <v>2</v>
      </c>
      <c r="BI125" s="2" t="s">
        <v>1</v>
      </c>
      <c r="BJ125" s="2" t="s">
        <v>0</v>
      </c>
      <c r="BK125" s="2"/>
      <c r="BL125" s="2"/>
    </row>
    <row r="126" spans="1:64" ht="18.75" x14ac:dyDescent="0.25">
      <c r="A126" s="2">
        <v>125</v>
      </c>
      <c r="B126" s="2" t="str">
        <f t="shared" si="2"/>
        <v>ADN-P-125</v>
      </c>
      <c r="C126" s="2" t="s">
        <v>19</v>
      </c>
      <c r="D126" s="2" t="s">
        <v>25</v>
      </c>
      <c r="E126" s="2" t="s">
        <v>494</v>
      </c>
      <c r="F126" s="2" t="s">
        <v>493</v>
      </c>
      <c r="G126" s="2" t="s">
        <v>492</v>
      </c>
      <c r="H126" s="2" t="s">
        <v>491</v>
      </c>
      <c r="I126" s="2" t="s">
        <v>490</v>
      </c>
      <c r="J126" s="2" t="s">
        <v>198</v>
      </c>
      <c r="K126" s="2">
        <v>73318.14</v>
      </c>
      <c r="L126" s="2">
        <v>0</v>
      </c>
      <c r="M126" s="2">
        <v>0</v>
      </c>
      <c r="N126" s="2">
        <v>2335</v>
      </c>
      <c r="O126" s="2">
        <v>2687</v>
      </c>
      <c r="P126" s="2">
        <f t="shared" si="3"/>
        <v>5022</v>
      </c>
      <c r="Q126" s="2" t="s">
        <v>86</v>
      </c>
      <c r="R126" s="2">
        <v>3</v>
      </c>
      <c r="S126" s="2">
        <v>10</v>
      </c>
      <c r="T126" s="2">
        <v>8</v>
      </c>
      <c r="U126" s="2">
        <v>0</v>
      </c>
      <c r="V126" s="2">
        <v>0</v>
      </c>
      <c r="W126" s="2">
        <v>41</v>
      </c>
      <c r="X126" s="2">
        <v>5</v>
      </c>
      <c r="Y126" s="2">
        <v>0</v>
      </c>
      <c r="Z126" s="2">
        <v>18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3</v>
      </c>
      <c r="AI126" s="2">
        <v>0</v>
      </c>
      <c r="AJ126" s="2">
        <v>14</v>
      </c>
      <c r="AK126" s="2">
        <v>4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1</v>
      </c>
      <c r="AR126" s="2">
        <v>0</v>
      </c>
      <c r="AS126" s="2">
        <v>1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3">
        <f>DATE(BE126, MATCH(TRIM(BD126), {"ENERO";"FEBRERO";"MARZO";"ABRIL";"MAYO";"JUNIO";"JULIO";"AGOSTO";"SEPTIEMBRE";"OCTUBRE";"NOVIEMBRE";"DICIEMBRE"}, 0), BC126)</f>
        <v>44979</v>
      </c>
      <c r="BC126" s="2">
        <v>22</v>
      </c>
      <c r="BD126" s="2" t="s">
        <v>484</v>
      </c>
      <c r="BE126" s="2">
        <v>2023</v>
      </c>
      <c r="BF126" s="2"/>
      <c r="BG126" s="2">
        <v>1</v>
      </c>
      <c r="BH126" s="2">
        <v>1</v>
      </c>
      <c r="BI126" s="2" t="s">
        <v>1</v>
      </c>
      <c r="BJ126" s="2" t="s">
        <v>0</v>
      </c>
      <c r="BK126" s="2"/>
      <c r="BL126" s="2"/>
    </row>
    <row r="127" spans="1:64" ht="18.75" x14ac:dyDescent="0.25">
      <c r="A127" s="2">
        <v>126</v>
      </c>
      <c r="B127" s="2" t="str">
        <f t="shared" si="2"/>
        <v>ADN-P-126</v>
      </c>
      <c r="C127" s="2" t="s">
        <v>19</v>
      </c>
      <c r="D127" s="2" t="s">
        <v>25</v>
      </c>
      <c r="E127" s="2" t="s">
        <v>489</v>
      </c>
      <c r="F127" s="2" t="s">
        <v>488</v>
      </c>
      <c r="G127" s="2" t="s">
        <v>487</v>
      </c>
      <c r="H127" s="2" t="s">
        <v>486</v>
      </c>
      <c r="I127" s="2" t="s">
        <v>485</v>
      </c>
      <c r="J127" s="2" t="s">
        <v>80</v>
      </c>
      <c r="K127" s="2">
        <v>1969.01</v>
      </c>
      <c r="L127" s="2">
        <v>86.79</v>
      </c>
      <c r="M127" s="2">
        <v>173.58</v>
      </c>
      <c r="N127" s="2">
        <v>3488</v>
      </c>
      <c r="O127" s="2">
        <v>4531</v>
      </c>
      <c r="P127" s="2">
        <f t="shared" si="3"/>
        <v>8019</v>
      </c>
      <c r="Q127" s="2" t="s">
        <v>86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48</v>
      </c>
      <c r="AF127" s="2">
        <v>48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3">
        <f>DATE(BE127, MATCH(TRIM(BD127), {"ENERO";"FEBRERO";"MARZO";"ABRIL";"MAYO";"JUNIO";"JULIO";"AGOSTO";"SEPTIEMBRE";"OCTUBRE";"NOVIEMBRE";"DICIEMBRE"}, 0), BC127)</f>
        <v>44973</v>
      </c>
      <c r="BC127" s="2">
        <v>16</v>
      </c>
      <c r="BD127" s="2" t="s">
        <v>484</v>
      </c>
      <c r="BE127" s="2">
        <v>2023</v>
      </c>
      <c r="BF127" s="2"/>
      <c r="BG127" s="2">
        <v>1</v>
      </c>
      <c r="BH127" s="2">
        <v>1</v>
      </c>
      <c r="BI127" s="2" t="s">
        <v>143</v>
      </c>
      <c r="BJ127" s="2" t="s">
        <v>0</v>
      </c>
      <c r="BK127" s="2"/>
      <c r="BL127" s="2"/>
    </row>
    <row r="128" spans="1:64" ht="18.75" x14ac:dyDescent="0.25">
      <c r="A128" s="2">
        <v>127</v>
      </c>
      <c r="B128" s="2" t="str">
        <f t="shared" si="2"/>
        <v>ADN-P-127</v>
      </c>
      <c r="C128" s="2" t="s">
        <v>19</v>
      </c>
      <c r="D128" s="2" t="s">
        <v>111</v>
      </c>
      <c r="E128" s="2" t="s">
        <v>483</v>
      </c>
      <c r="F128" s="2" t="s">
        <v>476</v>
      </c>
      <c r="G128" s="2" t="s">
        <v>482</v>
      </c>
      <c r="H128" s="2" t="s">
        <v>481</v>
      </c>
      <c r="I128" s="2" t="s">
        <v>480</v>
      </c>
      <c r="J128" s="2" t="s">
        <v>479</v>
      </c>
      <c r="K128" s="2">
        <v>845.99</v>
      </c>
      <c r="L128" s="2">
        <v>147.44</v>
      </c>
      <c r="M128" s="2">
        <v>294.88</v>
      </c>
      <c r="N128" s="2">
        <v>3663</v>
      </c>
      <c r="O128" s="2">
        <v>4458</v>
      </c>
      <c r="P128" s="2">
        <f t="shared" si="3"/>
        <v>8121</v>
      </c>
      <c r="Q128" s="2" t="s">
        <v>192</v>
      </c>
      <c r="R128" s="2">
        <v>1</v>
      </c>
      <c r="S128" s="2">
        <v>0</v>
      </c>
      <c r="T128" s="2">
        <v>0</v>
      </c>
      <c r="U128" s="2">
        <v>0</v>
      </c>
      <c r="V128" s="2">
        <v>0</v>
      </c>
      <c r="W128" s="2">
        <v>14</v>
      </c>
      <c r="X128" s="2">
        <v>0</v>
      </c>
      <c r="Y128" s="2">
        <v>0</v>
      </c>
      <c r="Z128" s="2">
        <v>5</v>
      </c>
      <c r="AA128" s="2">
        <v>0</v>
      </c>
      <c r="AB128" s="2">
        <v>0</v>
      </c>
      <c r="AC128" s="2">
        <v>0</v>
      </c>
      <c r="AD128" s="2">
        <v>0</v>
      </c>
      <c r="AE128" s="2">
        <v>28</v>
      </c>
      <c r="AF128" s="2">
        <v>28</v>
      </c>
      <c r="AG128" s="2" t="s">
        <v>478</v>
      </c>
      <c r="AH128" s="2">
        <v>2</v>
      </c>
      <c r="AI128" s="2">
        <v>0</v>
      </c>
      <c r="AJ128" s="2">
        <v>0</v>
      </c>
      <c r="AK128" s="2">
        <v>1</v>
      </c>
      <c r="AL128" s="2">
        <v>8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3">
        <f>DATE(BE128, MATCH(TRIM(BD128), {"ENERO";"FEBRERO";"MARZO";"ABRIL";"MAYO";"JUNIO";"JULIO";"AGOSTO";"SEPTIEMBRE";"OCTUBRE";"NOVIEMBRE";"DICIEMBRE"}, 0), BC128)</f>
        <v>45003</v>
      </c>
      <c r="BC128" s="2">
        <v>18</v>
      </c>
      <c r="BD128" s="2" t="s">
        <v>104</v>
      </c>
      <c r="BE128" s="2">
        <v>2023</v>
      </c>
      <c r="BF128" s="2"/>
      <c r="BG128" s="2">
        <v>1</v>
      </c>
      <c r="BH128" s="2">
        <v>1</v>
      </c>
      <c r="BI128" s="2" t="s">
        <v>48</v>
      </c>
      <c r="BJ128" s="2" t="s">
        <v>0</v>
      </c>
      <c r="BK128" s="2"/>
      <c r="BL128" s="2"/>
    </row>
    <row r="129" spans="1:64" ht="18.75" x14ac:dyDescent="0.25">
      <c r="A129" s="2">
        <v>128</v>
      </c>
      <c r="B129" s="2" t="str">
        <f t="shared" si="2"/>
        <v>ADN-P-128</v>
      </c>
      <c r="C129" s="2" t="s">
        <v>19</v>
      </c>
      <c r="D129" s="2" t="s">
        <v>111</v>
      </c>
      <c r="E129" s="2" t="s">
        <v>477</v>
      </c>
      <c r="F129" s="2" t="s">
        <v>476</v>
      </c>
      <c r="G129" s="2" t="s">
        <v>475</v>
      </c>
      <c r="H129" s="2" t="s">
        <v>474</v>
      </c>
      <c r="I129" s="2" t="s">
        <v>473</v>
      </c>
      <c r="J129" s="2" t="s">
        <v>105</v>
      </c>
      <c r="K129" s="2">
        <v>1867.21</v>
      </c>
      <c r="L129" s="2">
        <v>115.12</v>
      </c>
      <c r="M129" s="2">
        <v>230.24</v>
      </c>
      <c r="N129" s="2">
        <v>2703</v>
      </c>
      <c r="O129" s="2">
        <v>3203</v>
      </c>
      <c r="P129" s="2">
        <f t="shared" si="3"/>
        <v>5906</v>
      </c>
      <c r="Q129" s="2" t="s">
        <v>192</v>
      </c>
      <c r="R129" s="2">
        <v>1</v>
      </c>
      <c r="S129" s="2">
        <v>0</v>
      </c>
      <c r="T129" s="2">
        <v>0</v>
      </c>
      <c r="U129" s="2">
        <v>0</v>
      </c>
      <c r="V129" s="2">
        <v>0</v>
      </c>
      <c r="W129" s="2">
        <v>24</v>
      </c>
      <c r="X129" s="2">
        <v>0</v>
      </c>
      <c r="Y129" s="2">
        <v>0</v>
      </c>
      <c r="Z129" s="2">
        <v>9</v>
      </c>
      <c r="AA129" s="2">
        <v>0</v>
      </c>
      <c r="AB129" s="2">
        <v>0</v>
      </c>
      <c r="AC129" s="2">
        <v>19</v>
      </c>
      <c r="AD129" s="2">
        <v>0</v>
      </c>
      <c r="AE129" s="2">
        <v>0</v>
      </c>
      <c r="AF129" s="2">
        <v>40</v>
      </c>
      <c r="AG129" s="2" t="s">
        <v>472</v>
      </c>
      <c r="AH129" s="2">
        <v>0</v>
      </c>
      <c r="AI129" s="2">
        <v>9</v>
      </c>
      <c r="AJ129" s="2">
        <v>6</v>
      </c>
      <c r="AK129" s="2">
        <v>1</v>
      </c>
      <c r="AL129" s="2">
        <v>16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1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3">
        <f>DATE(BE129, MATCH(TRIM(BD129), {"ENERO";"FEBRERO";"MARZO";"ABRIL";"MAYO";"JUNIO";"JULIO";"AGOSTO";"SEPTIEMBRE";"OCTUBRE";"NOVIEMBRE";"DICIEMBRE"}, 0), BC129)</f>
        <v>45003</v>
      </c>
      <c r="BC129" s="2">
        <v>18</v>
      </c>
      <c r="BD129" s="2" t="s">
        <v>104</v>
      </c>
      <c r="BE129" s="2">
        <v>2023</v>
      </c>
      <c r="BF129" s="2"/>
      <c r="BG129" s="2">
        <v>1</v>
      </c>
      <c r="BH129" s="2">
        <v>1</v>
      </c>
      <c r="BI129" s="2" t="s">
        <v>48</v>
      </c>
      <c r="BJ129" s="2" t="s">
        <v>0</v>
      </c>
      <c r="BK129" s="2"/>
      <c r="BL129" s="2"/>
    </row>
    <row r="130" spans="1:64" ht="18.75" x14ac:dyDescent="0.25">
      <c r="A130" s="2">
        <v>129</v>
      </c>
      <c r="B130" s="2" t="str">
        <f t="shared" ref="B130:B193" si="4">CONCATENATE("ADN-P-",A130)</f>
        <v>ADN-P-129</v>
      </c>
      <c r="C130" s="2" t="s">
        <v>19</v>
      </c>
      <c r="D130" s="2" t="s">
        <v>25</v>
      </c>
      <c r="E130" s="2" t="s">
        <v>471</v>
      </c>
      <c r="F130" s="2" t="s">
        <v>470</v>
      </c>
      <c r="G130" s="2" t="s">
        <v>469</v>
      </c>
      <c r="H130" s="2" t="s">
        <v>468</v>
      </c>
      <c r="I130" s="2" t="s">
        <v>467</v>
      </c>
      <c r="J130" s="2" t="s">
        <v>466</v>
      </c>
      <c r="K130" s="2">
        <v>1589.31</v>
      </c>
      <c r="L130" s="2">
        <v>424.11</v>
      </c>
      <c r="M130" s="2">
        <v>848.22</v>
      </c>
      <c r="N130" s="2">
        <v>7919</v>
      </c>
      <c r="O130" s="2">
        <v>9701</v>
      </c>
      <c r="P130" s="2">
        <f t="shared" ref="P130:P193" si="5">SUM(N130:O130)</f>
        <v>17620</v>
      </c>
      <c r="Q130" s="2" t="s">
        <v>58</v>
      </c>
      <c r="R130" s="2">
        <v>2</v>
      </c>
      <c r="S130" s="2">
        <v>0</v>
      </c>
      <c r="T130" s="2">
        <v>0</v>
      </c>
      <c r="U130" s="2">
        <v>0</v>
      </c>
      <c r="V130" s="2">
        <v>0</v>
      </c>
      <c r="W130" s="2">
        <v>6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60</v>
      </c>
      <c r="AG130" s="2">
        <v>270.89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3">
        <f>DATE(BE130, MATCH(TRIM(BD130), {"ENERO";"FEBRERO";"MARZO";"ABRIL";"MAYO";"JUNIO";"JULIO";"AGOSTO";"SEPTIEMBRE";"OCTUBRE";"NOVIEMBRE";"DICIEMBRE"}, 0), BC130)</f>
        <v>45007</v>
      </c>
      <c r="BC130" s="2">
        <v>22</v>
      </c>
      <c r="BD130" s="2" t="s">
        <v>104</v>
      </c>
      <c r="BE130" s="2">
        <v>2023</v>
      </c>
      <c r="BF130" s="2"/>
      <c r="BG130" s="2">
        <v>1</v>
      </c>
      <c r="BH130" s="2">
        <v>2</v>
      </c>
      <c r="BI130" s="2" t="s">
        <v>1</v>
      </c>
      <c r="BJ130" s="2" t="s">
        <v>0</v>
      </c>
      <c r="BK130" s="2"/>
      <c r="BL130" s="2"/>
    </row>
    <row r="131" spans="1:64" ht="18.75" x14ac:dyDescent="0.25">
      <c r="A131" s="2">
        <v>130</v>
      </c>
      <c r="B131" s="2" t="str">
        <f t="shared" si="4"/>
        <v>ADN-P-130</v>
      </c>
      <c r="C131" s="2" t="s">
        <v>19</v>
      </c>
      <c r="D131" s="2" t="s">
        <v>25</v>
      </c>
      <c r="E131" s="2" t="s">
        <v>465</v>
      </c>
      <c r="F131" s="2" t="s">
        <v>464</v>
      </c>
      <c r="G131" s="2" t="s">
        <v>463</v>
      </c>
      <c r="H131" s="2" t="s">
        <v>462</v>
      </c>
      <c r="I131" s="2" t="s">
        <v>461</v>
      </c>
      <c r="J131" s="2" t="s">
        <v>460</v>
      </c>
      <c r="K131" s="2">
        <v>382.08</v>
      </c>
      <c r="L131" s="2">
        <v>93.44</v>
      </c>
      <c r="M131" s="2">
        <v>186.88</v>
      </c>
      <c r="N131" s="2">
        <v>7919</v>
      </c>
      <c r="O131" s="2">
        <v>9701</v>
      </c>
      <c r="P131" s="2">
        <f t="shared" si="5"/>
        <v>17620</v>
      </c>
      <c r="Q131" s="2" t="s">
        <v>192</v>
      </c>
      <c r="R131" s="2">
        <v>2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5</v>
      </c>
      <c r="AD131" s="2">
        <v>0</v>
      </c>
      <c r="AE131" s="2">
        <v>0</v>
      </c>
      <c r="AF131" s="2">
        <v>12</v>
      </c>
      <c r="AG131" s="2">
        <v>0</v>
      </c>
      <c r="AH131" s="2">
        <v>23</v>
      </c>
      <c r="AI131" s="2">
        <v>22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3">
        <f>DATE(BE131, MATCH(TRIM(BD131), {"ENERO";"FEBRERO";"MARZO";"ABRIL";"MAYO";"JUNIO";"JULIO";"AGOSTO";"SEPTIEMBRE";"OCTUBRE";"NOVIEMBRE";"DICIEMBRE"}, 0), BC131)</f>
        <v>44995</v>
      </c>
      <c r="BC131" s="2">
        <v>10</v>
      </c>
      <c r="BD131" s="2" t="s">
        <v>104</v>
      </c>
      <c r="BE131" s="2">
        <v>2023</v>
      </c>
      <c r="BF131" s="2"/>
      <c r="BG131" s="2">
        <v>1</v>
      </c>
      <c r="BH131" s="2">
        <v>1</v>
      </c>
      <c r="BI131" s="2" t="s">
        <v>1</v>
      </c>
      <c r="BJ131" s="2" t="s">
        <v>0</v>
      </c>
      <c r="BK131" s="2"/>
      <c r="BL131" s="2"/>
    </row>
    <row r="132" spans="1:64" ht="18.75" x14ac:dyDescent="0.25">
      <c r="A132" s="2">
        <v>131</v>
      </c>
      <c r="B132" s="2" t="str">
        <f t="shared" si="4"/>
        <v>ADN-P-131</v>
      </c>
      <c r="C132" s="2" t="s">
        <v>9</v>
      </c>
      <c r="D132" s="2" t="s">
        <v>78</v>
      </c>
      <c r="E132" s="2" t="s">
        <v>459</v>
      </c>
      <c r="F132" s="2" t="s">
        <v>458</v>
      </c>
      <c r="G132" s="2" t="s">
        <v>457</v>
      </c>
      <c r="H132" s="2" t="s">
        <v>456</v>
      </c>
      <c r="I132" s="2" t="s">
        <v>455</v>
      </c>
      <c r="J132" s="2" t="s">
        <v>454</v>
      </c>
      <c r="K132" s="2">
        <v>1191.81</v>
      </c>
      <c r="L132" s="2">
        <v>96.22</v>
      </c>
      <c r="M132" s="2">
        <v>192.44</v>
      </c>
      <c r="N132" s="2">
        <v>6295</v>
      </c>
      <c r="O132" s="2">
        <v>7445</v>
      </c>
      <c r="P132" s="2">
        <f t="shared" si="5"/>
        <v>13740</v>
      </c>
      <c r="Q132" s="2" t="s">
        <v>86</v>
      </c>
      <c r="R132" s="2">
        <v>1</v>
      </c>
      <c r="S132" s="2">
        <v>0</v>
      </c>
      <c r="T132" s="2">
        <v>3</v>
      </c>
      <c r="U132" s="2">
        <v>0</v>
      </c>
      <c r="V132" s="2">
        <v>0</v>
      </c>
      <c r="W132" s="2">
        <v>13</v>
      </c>
      <c r="X132" s="2">
        <v>4</v>
      </c>
      <c r="Y132" s="2">
        <v>0</v>
      </c>
      <c r="Z132" s="2">
        <v>2</v>
      </c>
      <c r="AA132" s="2">
        <v>0</v>
      </c>
      <c r="AB132" s="2">
        <v>0</v>
      </c>
      <c r="AC132" s="2">
        <v>0</v>
      </c>
      <c r="AD132" s="2">
        <v>0</v>
      </c>
      <c r="AE132" s="2">
        <v>13</v>
      </c>
      <c r="AF132" s="2">
        <v>13</v>
      </c>
      <c r="AG132" s="2">
        <v>33.159999999999997</v>
      </c>
      <c r="AH132" s="2">
        <v>0</v>
      </c>
      <c r="AI132" s="2">
        <v>0</v>
      </c>
      <c r="AJ132" s="2">
        <v>0</v>
      </c>
      <c r="AK132" s="2">
        <v>0</v>
      </c>
      <c r="AL132" s="2">
        <v>1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3">
        <f>DATE(BE132, MATCH(TRIM(BD132), {"ENERO";"FEBRERO";"MARZO";"ABRIL";"MAYO";"JUNIO";"JULIO";"AGOSTO";"SEPTIEMBRE";"OCTUBRE";"NOVIEMBRE";"DICIEMBRE"}, 0), BC132)</f>
        <v>45008</v>
      </c>
      <c r="BC132" s="2">
        <v>23</v>
      </c>
      <c r="BD132" s="2" t="s">
        <v>104</v>
      </c>
      <c r="BE132" s="2">
        <v>2023</v>
      </c>
      <c r="BF132" s="2"/>
      <c r="BG132" s="2">
        <v>2</v>
      </c>
      <c r="BH132" s="2">
        <v>1</v>
      </c>
      <c r="BI132" s="2" t="s">
        <v>143</v>
      </c>
      <c r="BJ132" s="2" t="s">
        <v>0</v>
      </c>
      <c r="BK132" s="2"/>
      <c r="BL132" s="2"/>
    </row>
    <row r="133" spans="1:64" ht="18.75" x14ac:dyDescent="0.25">
      <c r="A133" s="2">
        <v>132</v>
      </c>
      <c r="B133" s="2" t="str">
        <f t="shared" si="4"/>
        <v>ADN-P-132</v>
      </c>
      <c r="C133" s="2" t="s">
        <v>19</v>
      </c>
      <c r="D133" s="2" t="s">
        <v>47</v>
      </c>
      <c r="E133" s="2" t="s">
        <v>453</v>
      </c>
      <c r="F133" s="2" t="s">
        <v>452</v>
      </c>
      <c r="G133" s="2" t="s">
        <v>451</v>
      </c>
      <c r="H133" s="2" t="s">
        <v>450</v>
      </c>
      <c r="I133" s="2" t="s">
        <v>449</v>
      </c>
      <c r="J133" s="2" t="s">
        <v>59</v>
      </c>
      <c r="K133" s="2">
        <v>385.7</v>
      </c>
      <c r="L133" s="2">
        <v>41.65</v>
      </c>
      <c r="M133" s="2">
        <v>83.3</v>
      </c>
      <c r="N133" s="2">
        <v>3190</v>
      </c>
      <c r="O133" s="2">
        <v>3858</v>
      </c>
      <c r="P133" s="2">
        <f t="shared" si="5"/>
        <v>7048</v>
      </c>
      <c r="Q133" s="2" t="s">
        <v>86</v>
      </c>
      <c r="R133" s="2">
        <v>1</v>
      </c>
      <c r="S133" s="2">
        <v>0</v>
      </c>
      <c r="T133" s="2">
        <v>0</v>
      </c>
      <c r="U133" s="2">
        <v>0</v>
      </c>
      <c r="V133" s="2">
        <v>0</v>
      </c>
      <c r="W133" s="2">
        <v>7</v>
      </c>
      <c r="X133" s="2">
        <v>2</v>
      </c>
      <c r="Y133" s="2">
        <v>0</v>
      </c>
      <c r="Z133" s="2">
        <v>1</v>
      </c>
      <c r="AA133" s="2">
        <v>4</v>
      </c>
      <c r="AB133" s="2">
        <v>0</v>
      </c>
      <c r="AC133" s="2">
        <v>0</v>
      </c>
      <c r="AD133" s="2">
        <v>0</v>
      </c>
      <c r="AE133" s="2">
        <v>8</v>
      </c>
      <c r="AF133" s="2">
        <v>8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2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3">
        <f>DATE(BE133, MATCH(TRIM(BD133), {"ENERO";"FEBRERO";"MARZO";"ABRIL";"MAYO";"JUNIO";"JULIO";"AGOSTO";"SEPTIEMBRE";"OCTUBRE";"NOVIEMBRE";"DICIEMBRE"}, 0), BC133)</f>
        <v>45020</v>
      </c>
      <c r="BC133" s="2">
        <v>4</v>
      </c>
      <c r="BD133" s="2" t="s">
        <v>93</v>
      </c>
      <c r="BE133" s="2">
        <v>2023</v>
      </c>
      <c r="BF133" s="2"/>
      <c r="BG133" s="2">
        <v>1</v>
      </c>
      <c r="BH133" s="2">
        <v>1</v>
      </c>
      <c r="BI133" s="2" t="s">
        <v>1</v>
      </c>
      <c r="BJ133" s="2" t="s">
        <v>0</v>
      </c>
      <c r="BK133" s="2"/>
      <c r="BL133" s="2"/>
    </row>
    <row r="134" spans="1:64" ht="18.75" x14ac:dyDescent="0.25">
      <c r="A134" s="2">
        <v>133</v>
      </c>
      <c r="B134" s="2" t="str">
        <f t="shared" si="4"/>
        <v>ADN-P-133</v>
      </c>
      <c r="C134" s="2" t="s">
        <v>19</v>
      </c>
      <c r="D134" s="2" t="s">
        <v>111</v>
      </c>
      <c r="E134" s="2" t="s">
        <v>448</v>
      </c>
      <c r="F134" s="2" t="s">
        <v>447</v>
      </c>
      <c r="G134" s="2" t="s">
        <v>446</v>
      </c>
      <c r="H134" s="2" t="s">
        <v>445</v>
      </c>
      <c r="I134" s="2" t="s">
        <v>444</v>
      </c>
      <c r="J134" s="2" t="s">
        <v>443</v>
      </c>
      <c r="K134" s="2">
        <v>1510.09</v>
      </c>
      <c r="L134" s="2">
        <v>393.55</v>
      </c>
      <c r="M134" s="2">
        <v>787.1</v>
      </c>
      <c r="N134" s="2">
        <v>3190</v>
      </c>
      <c r="O134" s="2">
        <v>3858</v>
      </c>
      <c r="P134" s="2">
        <f t="shared" si="5"/>
        <v>7048</v>
      </c>
      <c r="Q134" s="2" t="s">
        <v>192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3</v>
      </c>
      <c r="X134" s="2">
        <v>0</v>
      </c>
      <c r="Y134" s="2">
        <v>0</v>
      </c>
      <c r="Z134" s="2">
        <v>2</v>
      </c>
      <c r="AA134" s="2">
        <v>0</v>
      </c>
      <c r="AB134" s="2">
        <v>2</v>
      </c>
      <c r="AC134" s="2">
        <v>0</v>
      </c>
      <c r="AD134" s="2">
        <v>0</v>
      </c>
      <c r="AE134" s="2">
        <v>25</v>
      </c>
      <c r="AF134" s="2">
        <v>25</v>
      </c>
      <c r="AG134" s="2">
        <v>158.27000000000001</v>
      </c>
      <c r="AH134" s="2">
        <v>0</v>
      </c>
      <c r="AI134" s="2">
        <v>0</v>
      </c>
      <c r="AJ134" s="2">
        <v>3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3">
        <f>DATE(BE134, MATCH(TRIM(BD134), {"ENERO";"FEBRERO";"MARZO";"ABRIL";"MAYO";"JUNIO";"JULIO";"AGOSTO";"SEPTIEMBRE";"OCTUBRE";"NOVIEMBRE";"DICIEMBRE"}, 0), BC134)</f>
        <v>45021</v>
      </c>
      <c r="BC134" s="2">
        <v>5</v>
      </c>
      <c r="BD134" s="2" t="s">
        <v>93</v>
      </c>
      <c r="BE134" s="2">
        <v>2023</v>
      </c>
      <c r="BF134" s="2"/>
      <c r="BG134" s="2">
        <v>1</v>
      </c>
      <c r="BH134" s="2">
        <v>2</v>
      </c>
      <c r="BI134" s="2" t="s">
        <v>1</v>
      </c>
      <c r="BJ134" s="2" t="s">
        <v>0</v>
      </c>
      <c r="BK134" s="2"/>
      <c r="BL134" s="2"/>
    </row>
    <row r="135" spans="1:64" ht="18.75" x14ac:dyDescent="0.25">
      <c r="A135" s="2">
        <v>134</v>
      </c>
      <c r="B135" s="2" t="str">
        <f t="shared" si="4"/>
        <v>ADN-P-134</v>
      </c>
      <c r="C135" s="2" t="s">
        <v>19</v>
      </c>
      <c r="D135" s="2" t="s">
        <v>47</v>
      </c>
      <c r="E135" s="2" t="s">
        <v>442</v>
      </c>
      <c r="F135" s="2" t="s">
        <v>441</v>
      </c>
      <c r="G135" s="2" t="s">
        <v>440</v>
      </c>
      <c r="H135" s="2" t="s">
        <v>381</v>
      </c>
      <c r="I135" s="2" t="s">
        <v>380</v>
      </c>
      <c r="J135" s="2" t="s">
        <v>439</v>
      </c>
      <c r="K135" s="2">
        <v>12921</v>
      </c>
      <c r="L135" s="2">
        <v>285.36</v>
      </c>
      <c r="M135" s="2">
        <v>570.72</v>
      </c>
      <c r="N135" s="2">
        <v>3275</v>
      </c>
      <c r="O135" s="2">
        <v>3832</v>
      </c>
      <c r="P135" s="2">
        <f t="shared" si="5"/>
        <v>7107</v>
      </c>
      <c r="Q135" s="2" t="s">
        <v>86</v>
      </c>
      <c r="R135" s="2">
        <v>1</v>
      </c>
      <c r="S135" s="2">
        <v>2</v>
      </c>
      <c r="T135" s="2">
        <v>6</v>
      </c>
      <c r="U135" s="2">
        <v>1</v>
      </c>
      <c r="V135" s="2">
        <v>0</v>
      </c>
      <c r="W135" s="2">
        <v>34</v>
      </c>
      <c r="X135" s="2">
        <v>11</v>
      </c>
      <c r="Y135" s="2">
        <v>2</v>
      </c>
      <c r="Z135" s="2">
        <v>4</v>
      </c>
      <c r="AA135" s="2">
        <v>8</v>
      </c>
      <c r="AB135" s="2">
        <v>0</v>
      </c>
      <c r="AC135" s="2">
        <v>0</v>
      </c>
      <c r="AD135" s="2">
        <v>0</v>
      </c>
      <c r="AE135" s="2">
        <v>72</v>
      </c>
      <c r="AF135" s="2">
        <v>72</v>
      </c>
      <c r="AG135" s="2" t="s">
        <v>438</v>
      </c>
      <c r="AH135" s="2">
        <v>0</v>
      </c>
      <c r="AI135" s="2">
        <v>6</v>
      </c>
      <c r="AJ135" s="2">
        <v>0</v>
      </c>
      <c r="AK135" s="2">
        <v>0</v>
      </c>
      <c r="AL135" s="2">
        <v>2</v>
      </c>
      <c r="AM135" s="2">
        <v>1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3">
        <f>DATE(BE135, MATCH(TRIM(BD135), {"ENERO";"FEBRERO";"MARZO";"ABRIL";"MAYO";"JUNIO";"JULIO";"AGOSTO";"SEPTIEMBRE";"OCTUBRE";"NOVIEMBRE";"DICIEMBRE"}, 0), BC135)</f>
        <v>45028</v>
      </c>
      <c r="BC135" s="2">
        <v>12</v>
      </c>
      <c r="BD135" s="2" t="s">
        <v>93</v>
      </c>
      <c r="BE135" s="2">
        <v>2023</v>
      </c>
      <c r="BF135" s="2"/>
      <c r="BG135" s="2">
        <v>1</v>
      </c>
      <c r="BH135" s="2">
        <v>1</v>
      </c>
      <c r="BI135" s="2" t="s">
        <v>143</v>
      </c>
      <c r="BJ135" s="2" t="s">
        <v>0</v>
      </c>
      <c r="BK135" s="2"/>
      <c r="BL135" s="2"/>
    </row>
    <row r="136" spans="1:64" ht="18.75" x14ac:dyDescent="0.25">
      <c r="A136" s="2">
        <v>135</v>
      </c>
      <c r="B136" s="2" t="str">
        <f t="shared" si="4"/>
        <v>ADN-P-135</v>
      </c>
      <c r="C136" s="2" t="s">
        <v>19</v>
      </c>
      <c r="D136" s="2" t="s">
        <v>18</v>
      </c>
      <c r="E136" s="2" t="s">
        <v>437</v>
      </c>
      <c r="F136" s="2" t="s">
        <v>436</v>
      </c>
      <c r="G136" s="2" t="s">
        <v>435</v>
      </c>
      <c r="H136" s="2" t="s">
        <v>434</v>
      </c>
      <c r="I136" s="2" t="s">
        <v>433</v>
      </c>
      <c r="J136" s="2" t="s">
        <v>185</v>
      </c>
      <c r="K136" s="2">
        <v>4083.25</v>
      </c>
      <c r="L136" s="2">
        <v>309.02999999999997</v>
      </c>
      <c r="M136" s="2">
        <v>618.05999999999995</v>
      </c>
      <c r="N136" s="2">
        <v>5920</v>
      </c>
      <c r="O136" s="2">
        <v>6795</v>
      </c>
      <c r="P136" s="2">
        <f t="shared" si="5"/>
        <v>12715</v>
      </c>
      <c r="Q136" s="2" t="s">
        <v>86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128</v>
      </c>
      <c r="AF136" s="2">
        <v>128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3">
        <f>DATE(BE136, MATCH(TRIM(BD136), {"ENERO";"FEBRERO";"MARZO";"ABRIL";"MAYO";"JUNIO";"JULIO";"AGOSTO";"SEPTIEMBRE";"OCTUBRE";"NOVIEMBRE";"DICIEMBRE"}, 0), BC136)</f>
        <v>45065</v>
      </c>
      <c r="BC136" s="2">
        <v>19</v>
      </c>
      <c r="BD136" s="2" t="s">
        <v>79</v>
      </c>
      <c r="BE136" s="2">
        <v>2023</v>
      </c>
      <c r="BF136" s="2"/>
      <c r="BG136" s="2">
        <v>1</v>
      </c>
      <c r="BH136" s="2">
        <v>1</v>
      </c>
      <c r="BI136" s="2" t="s">
        <v>143</v>
      </c>
      <c r="BJ136" s="2" t="s">
        <v>0</v>
      </c>
      <c r="BK136" s="2"/>
      <c r="BL136" s="2"/>
    </row>
    <row r="137" spans="1:64" ht="18.75" x14ac:dyDescent="0.25">
      <c r="A137" s="2">
        <v>136</v>
      </c>
      <c r="B137" s="2" t="str">
        <f t="shared" si="4"/>
        <v>ADN-P-136</v>
      </c>
      <c r="C137" s="2" t="s">
        <v>9</v>
      </c>
      <c r="D137" s="2" t="s">
        <v>78</v>
      </c>
      <c r="E137" s="2" t="s">
        <v>432</v>
      </c>
      <c r="F137" s="2" t="s">
        <v>431</v>
      </c>
      <c r="G137" s="2" t="s">
        <v>430</v>
      </c>
      <c r="H137" s="2" t="s">
        <v>429</v>
      </c>
      <c r="I137" s="2" t="s">
        <v>428</v>
      </c>
      <c r="J137" s="2" t="s">
        <v>297</v>
      </c>
      <c r="K137" s="2">
        <v>389</v>
      </c>
      <c r="L137" s="2">
        <v>55.74</v>
      </c>
      <c r="M137" s="2">
        <v>111.48</v>
      </c>
      <c r="N137" s="2">
        <v>27448</v>
      </c>
      <c r="O137" s="2">
        <v>29158</v>
      </c>
      <c r="P137" s="2">
        <f t="shared" si="5"/>
        <v>56606</v>
      </c>
      <c r="Q137" s="2" t="s">
        <v>86</v>
      </c>
      <c r="R137" s="2">
        <v>1</v>
      </c>
      <c r="S137" s="2">
        <v>2</v>
      </c>
      <c r="T137" s="2">
        <v>1</v>
      </c>
      <c r="U137" s="2">
        <v>0</v>
      </c>
      <c r="V137" s="2">
        <v>0</v>
      </c>
      <c r="W137" s="2">
        <v>10</v>
      </c>
      <c r="X137" s="2">
        <v>7</v>
      </c>
      <c r="Y137" s="2">
        <v>2</v>
      </c>
      <c r="Z137" s="2">
        <v>1</v>
      </c>
      <c r="AA137" s="2">
        <v>5</v>
      </c>
      <c r="AB137" s="2">
        <v>0</v>
      </c>
      <c r="AC137" s="2">
        <v>0</v>
      </c>
      <c r="AD137" s="2">
        <v>0</v>
      </c>
      <c r="AE137" s="2">
        <v>5</v>
      </c>
      <c r="AF137" s="2">
        <v>5</v>
      </c>
      <c r="AG137" s="2">
        <v>29.8</v>
      </c>
      <c r="AH137" s="2">
        <v>0</v>
      </c>
      <c r="AI137" s="2">
        <v>0</v>
      </c>
      <c r="AJ137" s="2">
        <v>1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3">
        <f>DATE(BE137, MATCH(TRIM(BD137), {"ENERO";"FEBRERO";"MARZO";"ABRIL";"MAYO";"JUNIO";"JULIO";"AGOSTO";"SEPTIEMBRE";"OCTUBRE";"NOVIEMBRE";"DICIEMBRE"}, 0), BC137)</f>
        <v>45051</v>
      </c>
      <c r="BC137" s="2">
        <v>5</v>
      </c>
      <c r="BD137" s="2" t="s">
        <v>79</v>
      </c>
      <c r="BE137" s="2">
        <v>2023</v>
      </c>
      <c r="BF137" s="2"/>
      <c r="BG137" s="2">
        <v>2</v>
      </c>
      <c r="BH137" s="2">
        <v>1</v>
      </c>
      <c r="BI137" s="2" t="s">
        <v>48</v>
      </c>
      <c r="BJ137" s="2" t="s">
        <v>0</v>
      </c>
      <c r="BK137" s="2"/>
      <c r="BL137" s="2"/>
    </row>
    <row r="138" spans="1:64" ht="18.75" x14ac:dyDescent="0.25">
      <c r="A138" s="2">
        <v>137</v>
      </c>
      <c r="B138" s="2" t="str">
        <f t="shared" si="4"/>
        <v>ADN-P-137</v>
      </c>
      <c r="C138" s="2" t="s">
        <v>19</v>
      </c>
      <c r="D138" s="2" t="s">
        <v>111</v>
      </c>
      <c r="E138" s="2" t="s">
        <v>427</v>
      </c>
      <c r="F138" s="2" t="s">
        <v>426</v>
      </c>
      <c r="G138" s="2" t="s">
        <v>425</v>
      </c>
      <c r="H138" s="2" t="s">
        <v>424</v>
      </c>
      <c r="I138" s="2" t="s">
        <v>423</v>
      </c>
      <c r="J138" s="2" t="s">
        <v>422</v>
      </c>
      <c r="K138" s="2">
        <v>1673</v>
      </c>
      <c r="L138" s="2">
        <v>176.02</v>
      </c>
      <c r="M138" s="2">
        <v>352.04</v>
      </c>
      <c r="N138" s="2">
        <v>6241</v>
      </c>
      <c r="O138" s="2">
        <v>7284</v>
      </c>
      <c r="P138" s="2">
        <f t="shared" si="5"/>
        <v>13525</v>
      </c>
      <c r="Q138" s="2" t="s">
        <v>86</v>
      </c>
      <c r="R138" s="2">
        <v>0</v>
      </c>
      <c r="S138" s="2">
        <v>0</v>
      </c>
      <c r="T138" s="2">
        <v>5</v>
      </c>
      <c r="U138" s="2">
        <v>0</v>
      </c>
      <c r="V138" s="2">
        <v>0</v>
      </c>
      <c r="W138" s="2">
        <v>15</v>
      </c>
      <c r="X138" s="2">
        <v>12</v>
      </c>
      <c r="Y138" s="2">
        <v>0</v>
      </c>
      <c r="Z138" s="2">
        <v>7</v>
      </c>
      <c r="AA138" s="2">
        <v>0</v>
      </c>
      <c r="AB138" s="2">
        <v>0</v>
      </c>
      <c r="AC138" s="2">
        <v>0</v>
      </c>
      <c r="AD138" s="2">
        <v>0</v>
      </c>
      <c r="AE138" s="2">
        <v>44</v>
      </c>
      <c r="AF138" s="2">
        <v>0</v>
      </c>
      <c r="AG138" s="2">
        <v>23</v>
      </c>
      <c r="AH138" s="2">
        <v>2</v>
      </c>
      <c r="AI138" s="2">
        <v>0</v>
      </c>
      <c r="AJ138" s="2">
        <v>0</v>
      </c>
      <c r="AK138" s="2">
        <v>1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3">
        <f>DATE(BE138, MATCH(TRIM(BD138), {"ENERO";"FEBRERO";"MARZO";"ABRIL";"MAYO";"JUNIO";"JULIO";"AGOSTO";"SEPTIEMBRE";"OCTUBRE";"NOVIEMBRE";"DICIEMBRE"}, 0), BC138)</f>
        <v>45027</v>
      </c>
      <c r="BC138" s="2">
        <v>11</v>
      </c>
      <c r="BD138" s="2" t="s">
        <v>93</v>
      </c>
      <c r="BE138" s="2">
        <v>2023</v>
      </c>
      <c r="BF138" s="2"/>
      <c r="BG138" s="2">
        <v>1</v>
      </c>
      <c r="BH138" s="2">
        <v>1</v>
      </c>
      <c r="BI138" s="2" t="s">
        <v>143</v>
      </c>
      <c r="BJ138" s="2" t="s">
        <v>0</v>
      </c>
      <c r="BK138" s="2"/>
      <c r="BL138" s="2"/>
    </row>
    <row r="139" spans="1:64" ht="18.75" x14ac:dyDescent="0.25">
      <c r="A139" s="2">
        <v>138</v>
      </c>
      <c r="B139" s="2" t="str">
        <f t="shared" si="4"/>
        <v>ADN-P-138</v>
      </c>
      <c r="C139" s="2" t="s">
        <v>19</v>
      </c>
      <c r="D139" s="2" t="s">
        <v>221</v>
      </c>
      <c r="E139" s="2" t="s">
        <v>421</v>
      </c>
      <c r="F139" s="2" t="s">
        <v>420</v>
      </c>
      <c r="G139" s="2" t="s">
        <v>419</v>
      </c>
      <c r="H139" s="2" t="s">
        <v>418</v>
      </c>
      <c r="I139" s="2" t="s">
        <v>417</v>
      </c>
      <c r="J139" s="2" t="s">
        <v>416</v>
      </c>
      <c r="K139" s="2">
        <v>289.2</v>
      </c>
      <c r="L139" s="2" t="s">
        <v>415</v>
      </c>
      <c r="M139" s="2">
        <v>196.64</v>
      </c>
      <c r="N139" s="2">
        <v>6851</v>
      </c>
      <c r="O139" s="2">
        <v>8231</v>
      </c>
      <c r="P139" s="2">
        <f t="shared" si="5"/>
        <v>15082</v>
      </c>
      <c r="Q139" s="2" t="s">
        <v>86</v>
      </c>
      <c r="R139" s="2">
        <v>2</v>
      </c>
      <c r="S139" s="2">
        <v>0</v>
      </c>
      <c r="T139" s="2">
        <v>1</v>
      </c>
      <c r="U139" s="2">
        <v>0</v>
      </c>
      <c r="V139" s="2">
        <v>0</v>
      </c>
      <c r="W139" s="2">
        <v>0</v>
      </c>
      <c r="X139" s="2">
        <v>8</v>
      </c>
      <c r="Y139" s="2">
        <v>0</v>
      </c>
      <c r="Z139" s="2">
        <v>2</v>
      </c>
      <c r="AA139" s="2">
        <v>0</v>
      </c>
      <c r="AB139" s="2">
        <v>0</v>
      </c>
      <c r="AC139" s="2">
        <v>0</v>
      </c>
      <c r="AD139" s="2">
        <v>0</v>
      </c>
      <c r="AE139" s="2">
        <v>39</v>
      </c>
      <c r="AF139" s="2">
        <v>39</v>
      </c>
      <c r="AG139" s="2">
        <v>0</v>
      </c>
      <c r="AH139" s="2">
        <v>2</v>
      </c>
      <c r="AI139" s="2">
        <v>13</v>
      </c>
      <c r="AJ139" s="2">
        <v>0</v>
      </c>
      <c r="AK139" s="2">
        <v>1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3">
        <f>DATE(BE139, MATCH(TRIM(BD139), {"ENERO";"FEBRERO";"MARZO";"ABRIL";"MAYO";"JUNIO";"JULIO";"AGOSTO";"SEPTIEMBRE";"OCTUBRE";"NOVIEMBRE";"DICIEMBRE"}, 0), BC139)</f>
        <v>45045</v>
      </c>
      <c r="BC139" s="2">
        <v>29</v>
      </c>
      <c r="BD139" s="2" t="s">
        <v>93</v>
      </c>
      <c r="BE139" s="2">
        <v>2023</v>
      </c>
      <c r="BF139" s="2"/>
      <c r="BG139" s="2">
        <v>1</v>
      </c>
      <c r="BH139" s="2">
        <v>1</v>
      </c>
      <c r="BI139" s="2" t="s">
        <v>1</v>
      </c>
      <c r="BJ139" s="2" t="s">
        <v>0</v>
      </c>
      <c r="BK139" s="2"/>
      <c r="BL139" s="2"/>
    </row>
    <row r="140" spans="1:64" ht="18.75" x14ac:dyDescent="0.25">
      <c r="A140" s="2">
        <v>139</v>
      </c>
      <c r="B140" s="2" t="str">
        <f t="shared" si="4"/>
        <v>ADN-P-139</v>
      </c>
      <c r="C140" s="2" t="s">
        <v>19</v>
      </c>
      <c r="D140" s="2" t="s">
        <v>25</v>
      </c>
      <c r="E140" s="2" t="s">
        <v>414</v>
      </c>
      <c r="F140" s="2" t="s">
        <v>413</v>
      </c>
      <c r="G140" s="2" t="s">
        <v>412</v>
      </c>
      <c r="H140" s="2" t="s">
        <v>411</v>
      </c>
      <c r="I140" s="2" t="s">
        <v>410</v>
      </c>
      <c r="J140" s="2" t="s">
        <v>65</v>
      </c>
      <c r="K140" s="2">
        <v>124.55</v>
      </c>
      <c r="L140" s="2">
        <v>32</v>
      </c>
      <c r="M140" s="2">
        <v>64</v>
      </c>
      <c r="N140" s="2">
        <v>2650</v>
      </c>
      <c r="O140" s="2">
        <v>3045</v>
      </c>
      <c r="P140" s="2">
        <f t="shared" si="5"/>
        <v>5695</v>
      </c>
      <c r="Q140" s="2" t="s">
        <v>58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2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1</v>
      </c>
      <c r="AF140" s="2">
        <v>1</v>
      </c>
      <c r="AG140" s="2">
        <v>35.78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3">
        <f>DATE(BE140, MATCH(TRIM(BD140), {"ENERO";"FEBRERO";"MARZO";"ABRIL";"MAYO";"JUNIO";"JULIO";"AGOSTO";"SEPTIEMBRE";"OCTUBRE";"NOVIEMBRE";"DICIEMBRE"}, 0), BC140)</f>
        <v>44995</v>
      </c>
      <c r="BC140" s="2">
        <v>10</v>
      </c>
      <c r="BD140" s="2" t="s">
        <v>104</v>
      </c>
      <c r="BE140" s="2">
        <v>2023</v>
      </c>
      <c r="BF140" s="2"/>
      <c r="BG140" s="2">
        <v>1</v>
      </c>
      <c r="BH140" s="2">
        <v>1</v>
      </c>
      <c r="BI140" s="2" t="s">
        <v>1</v>
      </c>
      <c r="BJ140" s="2" t="s">
        <v>0</v>
      </c>
      <c r="BK140" s="2"/>
      <c r="BL140" s="2"/>
    </row>
    <row r="141" spans="1:64" ht="18.75" x14ac:dyDescent="0.25">
      <c r="A141" s="2">
        <v>140</v>
      </c>
      <c r="B141" s="2" t="str">
        <f t="shared" si="4"/>
        <v>ADN-P-140</v>
      </c>
      <c r="C141" s="2" t="s">
        <v>19</v>
      </c>
      <c r="D141" s="2" t="s">
        <v>18</v>
      </c>
      <c r="E141" s="2" t="s">
        <v>409</v>
      </c>
      <c r="F141" s="2" t="s">
        <v>408</v>
      </c>
      <c r="G141" s="2" t="s">
        <v>407</v>
      </c>
      <c r="H141" s="2" t="s">
        <v>406</v>
      </c>
      <c r="I141" s="2" t="s">
        <v>405</v>
      </c>
      <c r="J141" s="2" t="s">
        <v>404</v>
      </c>
      <c r="K141" s="2">
        <v>77545.570000000007</v>
      </c>
      <c r="L141" s="2">
        <v>164.78</v>
      </c>
      <c r="M141" s="2">
        <v>329.56</v>
      </c>
      <c r="N141" s="2">
        <v>6098</v>
      </c>
      <c r="O141" s="2">
        <v>7496</v>
      </c>
      <c r="P141" s="2">
        <f t="shared" si="5"/>
        <v>13594</v>
      </c>
      <c r="Q141" s="2" t="s">
        <v>86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3">
        <f>DATE(BE141, MATCH(TRIM(BD141), {"ENERO";"FEBRERO";"MARZO";"ABRIL";"MAYO";"JUNIO";"JULIO";"AGOSTO";"SEPTIEMBRE";"OCTUBRE";"NOVIEMBRE";"DICIEMBRE"}, 0), BC141)</f>
        <v>45068</v>
      </c>
      <c r="BC141" s="2">
        <v>22</v>
      </c>
      <c r="BD141" s="2" t="s">
        <v>79</v>
      </c>
      <c r="BE141" s="2">
        <v>2023</v>
      </c>
      <c r="BF141" s="2"/>
      <c r="BG141" s="2">
        <v>1</v>
      </c>
      <c r="BH141" s="2">
        <v>1</v>
      </c>
      <c r="BI141" s="2" t="s">
        <v>143</v>
      </c>
      <c r="BJ141" s="2" t="s">
        <v>0</v>
      </c>
      <c r="BK141" s="2"/>
      <c r="BL141" s="2"/>
    </row>
    <row r="142" spans="1:64" ht="18.75" x14ac:dyDescent="0.25">
      <c r="A142" s="2">
        <v>141</v>
      </c>
      <c r="B142" s="2" t="str">
        <f t="shared" si="4"/>
        <v>ADN-P-141</v>
      </c>
      <c r="C142" s="2" t="s">
        <v>19</v>
      </c>
      <c r="D142" s="2" t="s">
        <v>47</v>
      </c>
      <c r="E142" s="2" t="s">
        <v>403</v>
      </c>
      <c r="F142" s="2" t="s">
        <v>402</v>
      </c>
      <c r="G142" s="2" t="s">
        <v>401</v>
      </c>
      <c r="H142" s="2" t="s">
        <v>400</v>
      </c>
      <c r="I142" s="2" t="s">
        <v>399</v>
      </c>
      <c r="J142" s="2" t="s">
        <v>398</v>
      </c>
      <c r="K142" s="2">
        <v>1066.83</v>
      </c>
      <c r="L142" s="2">
        <v>86.1</v>
      </c>
      <c r="M142" s="2">
        <v>172.2</v>
      </c>
      <c r="N142" s="2">
        <v>5014</v>
      </c>
      <c r="O142" s="2">
        <v>5612</v>
      </c>
      <c r="P142" s="2">
        <f t="shared" si="5"/>
        <v>10626</v>
      </c>
      <c r="Q142" s="2" t="s">
        <v>86</v>
      </c>
      <c r="R142" s="2">
        <v>1</v>
      </c>
      <c r="S142" s="2">
        <v>2</v>
      </c>
      <c r="T142" s="2">
        <v>2</v>
      </c>
      <c r="U142" s="2">
        <v>1</v>
      </c>
      <c r="V142" s="2">
        <v>0</v>
      </c>
      <c r="W142" s="2">
        <v>18</v>
      </c>
      <c r="X142" s="2">
        <v>8</v>
      </c>
      <c r="Y142" s="2">
        <v>0</v>
      </c>
      <c r="Z142" s="2">
        <v>3</v>
      </c>
      <c r="AA142" s="2">
        <v>4</v>
      </c>
      <c r="AB142" s="2">
        <v>4</v>
      </c>
      <c r="AC142" s="2">
        <v>2</v>
      </c>
      <c r="AD142" s="2">
        <v>1</v>
      </c>
      <c r="AE142" s="2">
        <v>22</v>
      </c>
      <c r="AF142" s="2">
        <v>33</v>
      </c>
      <c r="AG142" s="2">
        <v>228.5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1</v>
      </c>
      <c r="AP142" s="2">
        <v>0</v>
      </c>
      <c r="AQ142" s="2">
        <v>21</v>
      </c>
      <c r="AR142" s="2">
        <v>0</v>
      </c>
      <c r="AS142" s="2">
        <v>1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3">
        <f>DATE(BE142, MATCH(TRIM(BD142), {"ENERO";"FEBRERO";"MARZO";"ABRIL";"MAYO";"JUNIO";"JULIO";"AGOSTO";"SEPTIEMBRE";"OCTUBRE";"NOVIEMBRE";"DICIEMBRE"}, 0), BC142)</f>
        <v>45049</v>
      </c>
      <c r="BC142" s="2">
        <v>3</v>
      </c>
      <c r="BD142" s="2" t="s">
        <v>79</v>
      </c>
      <c r="BE142" s="2">
        <v>2023</v>
      </c>
      <c r="BF142" s="2"/>
      <c r="BG142" s="2">
        <v>1</v>
      </c>
      <c r="BH142" s="2">
        <v>1</v>
      </c>
      <c r="BI142" s="2" t="s">
        <v>143</v>
      </c>
      <c r="BJ142" s="2" t="s">
        <v>0</v>
      </c>
      <c r="BK142" s="2"/>
      <c r="BL142" s="2"/>
    </row>
    <row r="143" spans="1:64" ht="18.75" x14ac:dyDescent="0.25">
      <c r="A143" s="2">
        <v>142</v>
      </c>
      <c r="B143" s="2" t="str">
        <f t="shared" si="4"/>
        <v>ADN-P-142</v>
      </c>
      <c r="C143" s="2" t="s">
        <v>19</v>
      </c>
      <c r="D143" s="2" t="s">
        <v>47</v>
      </c>
      <c r="E143" s="2" t="s">
        <v>397</v>
      </c>
      <c r="F143" s="2" t="s">
        <v>396</v>
      </c>
      <c r="G143" s="2" t="s">
        <v>395</v>
      </c>
      <c r="H143" s="2" t="s">
        <v>394</v>
      </c>
      <c r="I143" s="2" t="s">
        <v>393</v>
      </c>
      <c r="J143" s="2" t="s">
        <v>392</v>
      </c>
      <c r="K143" s="2">
        <v>3100</v>
      </c>
      <c r="L143" s="2">
        <v>218.88</v>
      </c>
      <c r="M143" s="2">
        <v>437.76</v>
      </c>
      <c r="N143" s="2">
        <v>1459</v>
      </c>
      <c r="O143" s="2">
        <v>1809</v>
      </c>
      <c r="P143" s="2">
        <f t="shared" si="5"/>
        <v>3268</v>
      </c>
      <c r="Q143" s="2" t="s">
        <v>192</v>
      </c>
      <c r="R143" s="2">
        <v>2</v>
      </c>
      <c r="S143" s="2">
        <v>4</v>
      </c>
      <c r="T143" s="2">
        <v>7</v>
      </c>
      <c r="U143" s="2">
        <v>1</v>
      </c>
      <c r="V143" s="2">
        <v>0</v>
      </c>
      <c r="W143" s="2">
        <v>50</v>
      </c>
      <c r="X143" s="2">
        <v>7</v>
      </c>
      <c r="Y143" s="2">
        <v>2</v>
      </c>
      <c r="Z143" s="2">
        <v>8</v>
      </c>
      <c r="AA143" s="2">
        <v>9</v>
      </c>
      <c r="AB143" s="2">
        <v>0</v>
      </c>
      <c r="AC143" s="2">
        <v>7</v>
      </c>
      <c r="AD143" s="2">
        <v>2</v>
      </c>
      <c r="AE143" s="2">
        <v>0</v>
      </c>
      <c r="AF143" s="2">
        <v>21</v>
      </c>
      <c r="AG143" s="2" t="s">
        <v>391</v>
      </c>
      <c r="AH143" s="2">
        <v>0</v>
      </c>
      <c r="AI143" s="2">
        <v>4</v>
      </c>
      <c r="AJ143" s="2">
        <v>3</v>
      </c>
      <c r="AK143" s="2">
        <v>0</v>
      </c>
      <c r="AL143" s="2">
        <v>0</v>
      </c>
      <c r="AM143" s="2">
        <v>1</v>
      </c>
      <c r="AN143" s="2">
        <v>0</v>
      </c>
      <c r="AO143" s="2">
        <v>1</v>
      </c>
      <c r="AP143" s="2">
        <v>0</v>
      </c>
      <c r="AQ143" s="2">
        <v>2</v>
      </c>
      <c r="AR143" s="2">
        <v>0</v>
      </c>
      <c r="AS143" s="2">
        <v>1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3">
        <f>DATE(BE143, MATCH(TRIM(BD143), {"ENERO";"FEBRERO";"MARZO";"ABRIL";"MAYO";"JUNIO";"JULIO";"AGOSTO";"SEPTIEMBRE";"OCTUBRE";"NOVIEMBRE";"DICIEMBRE"}, 0), BC143)</f>
        <v>45036</v>
      </c>
      <c r="BC143" s="2">
        <v>20</v>
      </c>
      <c r="BD143" s="2" t="s">
        <v>93</v>
      </c>
      <c r="BE143" s="2">
        <v>2023</v>
      </c>
      <c r="BF143" s="2"/>
      <c r="BG143" s="2">
        <v>1</v>
      </c>
      <c r="BH143" s="2">
        <v>1</v>
      </c>
      <c r="BI143" s="2" t="s">
        <v>143</v>
      </c>
      <c r="BJ143" s="2" t="s">
        <v>0</v>
      </c>
      <c r="BK143" s="2"/>
      <c r="BL143" s="2"/>
    </row>
    <row r="144" spans="1:64" ht="18.75" x14ac:dyDescent="0.25">
      <c r="A144" s="2">
        <v>143</v>
      </c>
      <c r="B144" s="2" t="str">
        <f t="shared" si="4"/>
        <v>ADN-P-143</v>
      </c>
      <c r="C144" s="2" t="s">
        <v>19</v>
      </c>
      <c r="D144" s="2" t="s">
        <v>18</v>
      </c>
      <c r="E144" s="2" t="s">
        <v>390</v>
      </c>
      <c r="F144" s="2" t="s">
        <v>389</v>
      </c>
      <c r="G144" s="2" t="s">
        <v>388</v>
      </c>
      <c r="H144" s="2" t="s">
        <v>387</v>
      </c>
      <c r="I144" s="2" t="s">
        <v>386</v>
      </c>
      <c r="J144" s="2" t="s">
        <v>385</v>
      </c>
      <c r="K144" s="2">
        <v>50</v>
      </c>
      <c r="L144" s="2">
        <v>3.23</v>
      </c>
      <c r="M144" s="2">
        <v>6.46</v>
      </c>
      <c r="N144" s="2">
        <v>17748</v>
      </c>
      <c r="O144" s="2">
        <v>20409</v>
      </c>
      <c r="P144" s="2">
        <f t="shared" si="5"/>
        <v>38157</v>
      </c>
      <c r="Q144" s="2" t="s">
        <v>58</v>
      </c>
      <c r="R144" s="2">
        <v>1</v>
      </c>
      <c r="S144" s="2">
        <v>0</v>
      </c>
      <c r="T144" s="2">
        <v>0</v>
      </c>
      <c r="U144" s="2">
        <v>0</v>
      </c>
      <c r="V144" s="2">
        <v>0</v>
      </c>
      <c r="W144" s="2">
        <v>2</v>
      </c>
      <c r="X144" s="2">
        <v>0</v>
      </c>
      <c r="Y144" s="2">
        <v>0</v>
      </c>
      <c r="Z144" s="2">
        <v>0</v>
      </c>
      <c r="AA144" s="2">
        <v>0</v>
      </c>
      <c r="AB144" s="2">
        <v>2</v>
      </c>
      <c r="AC144" s="2">
        <v>0</v>
      </c>
      <c r="AD144" s="2">
        <v>0</v>
      </c>
      <c r="AE144" s="2">
        <v>1</v>
      </c>
      <c r="AF144" s="2">
        <v>1</v>
      </c>
      <c r="AG144" s="2">
        <v>30.2</v>
      </c>
      <c r="AH144" s="2">
        <v>0</v>
      </c>
      <c r="AI144" s="2">
        <v>0</v>
      </c>
      <c r="AJ144" s="2">
        <v>0</v>
      </c>
      <c r="AK144" s="2">
        <v>0</v>
      </c>
      <c r="AL144" s="2">
        <v>2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3">
        <f>DATE(BE144, MATCH(TRIM(BD144), {"ENERO";"FEBRERO";"MARZO";"ABRIL";"MAYO";"JUNIO";"JULIO";"AGOSTO";"SEPTIEMBRE";"OCTUBRE";"NOVIEMBRE";"DICIEMBRE"}, 0), BC144)</f>
        <v>45098</v>
      </c>
      <c r="BC144" s="2">
        <v>21</v>
      </c>
      <c r="BD144" s="2" t="s">
        <v>71</v>
      </c>
      <c r="BE144" s="2">
        <v>2023</v>
      </c>
      <c r="BF144" s="2"/>
      <c r="BG144" s="2">
        <v>1</v>
      </c>
      <c r="BH144" s="2">
        <v>2</v>
      </c>
      <c r="BI144" s="2" t="s">
        <v>1</v>
      </c>
      <c r="BJ144" s="2" t="s">
        <v>0</v>
      </c>
      <c r="BK144" s="2"/>
      <c r="BL144" s="2"/>
    </row>
    <row r="145" spans="1:64" ht="18.75" x14ac:dyDescent="0.25">
      <c r="A145" s="2">
        <v>144</v>
      </c>
      <c r="B145" s="2" t="str">
        <f t="shared" si="4"/>
        <v>ADN-P-144</v>
      </c>
      <c r="C145" s="2" t="s">
        <v>19</v>
      </c>
      <c r="D145" s="2" t="s">
        <v>47</v>
      </c>
      <c r="E145" s="2" t="s">
        <v>384</v>
      </c>
      <c r="F145" s="2" t="s">
        <v>383</v>
      </c>
      <c r="G145" s="2" t="s">
        <v>382</v>
      </c>
      <c r="H145" s="2" t="s">
        <v>381</v>
      </c>
      <c r="I145" s="2" t="s">
        <v>380</v>
      </c>
      <c r="J145" s="2" t="s">
        <v>379</v>
      </c>
      <c r="K145" s="2">
        <v>3122.02</v>
      </c>
      <c r="L145" s="2">
        <v>200.5</v>
      </c>
      <c r="M145" s="2">
        <v>401</v>
      </c>
      <c r="N145" s="2">
        <v>1459</v>
      </c>
      <c r="O145" s="2">
        <v>1809</v>
      </c>
      <c r="P145" s="2">
        <f t="shared" si="5"/>
        <v>3268</v>
      </c>
      <c r="Q145" s="2" t="s">
        <v>86</v>
      </c>
      <c r="R145" s="2">
        <v>1</v>
      </c>
      <c r="S145" s="2">
        <v>3</v>
      </c>
      <c r="T145" s="2">
        <v>5</v>
      </c>
      <c r="U145" s="2">
        <v>1</v>
      </c>
      <c r="V145" s="2">
        <v>0</v>
      </c>
      <c r="W145" s="2">
        <v>23</v>
      </c>
      <c r="X145" s="2">
        <v>9</v>
      </c>
      <c r="Y145" s="2">
        <v>2</v>
      </c>
      <c r="Z145" s="2">
        <v>4</v>
      </c>
      <c r="AA145" s="2">
        <v>7</v>
      </c>
      <c r="AB145" s="2">
        <v>2</v>
      </c>
      <c r="AC145" s="2">
        <v>3</v>
      </c>
      <c r="AD145" s="2">
        <v>2</v>
      </c>
      <c r="AE145" s="2">
        <v>27</v>
      </c>
      <c r="AF145" s="2">
        <v>30</v>
      </c>
      <c r="AG145" s="2" t="s">
        <v>378</v>
      </c>
      <c r="AH145" s="2">
        <v>0</v>
      </c>
      <c r="AI145" s="2">
        <v>4</v>
      </c>
      <c r="AJ145" s="2">
        <v>0</v>
      </c>
      <c r="AK145" s="2">
        <v>0</v>
      </c>
      <c r="AL145" s="2">
        <v>0</v>
      </c>
      <c r="AM145" s="2">
        <v>1</v>
      </c>
      <c r="AN145" s="2">
        <v>0</v>
      </c>
      <c r="AO145" s="2">
        <v>0</v>
      </c>
      <c r="AP145" s="2">
        <v>0</v>
      </c>
      <c r="AQ145" s="2">
        <v>2</v>
      </c>
      <c r="AR145" s="2">
        <v>0</v>
      </c>
      <c r="AS145" s="2">
        <v>2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3">
        <f>DATE(BE145, MATCH(TRIM(BD145), {"ENERO";"FEBRERO";"MARZO";"ABRIL";"MAYO";"JUNIO";"JULIO";"AGOSTO";"SEPTIEMBRE";"OCTUBRE";"NOVIEMBRE";"DICIEMBRE"}, 0), BC145)</f>
        <v>45092</v>
      </c>
      <c r="BC145" s="2">
        <v>15</v>
      </c>
      <c r="BD145" s="2" t="s">
        <v>71</v>
      </c>
      <c r="BE145" s="2">
        <v>2023</v>
      </c>
      <c r="BF145" s="2"/>
      <c r="BG145" s="2">
        <v>1</v>
      </c>
      <c r="BH145" s="2">
        <v>1</v>
      </c>
      <c r="BI145" s="2" t="s">
        <v>143</v>
      </c>
      <c r="BJ145" s="2" t="s">
        <v>0</v>
      </c>
      <c r="BK145" s="2"/>
      <c r="BL145" s="2"/>
    </row>
    <row r="146" spans="1:64" ht="18.75" x14ac:dyDescent="0.25">
      <c r="A146" s="2">
        <v>145</v>
      </c>
      <c r="B146" s="2" t="str">
        <f t="shared" si="4"/>
        <v>ADN-P-145</v>
      </c>
      <c r="C146" s="2" t="s">
        <v>19</v>
      </c>
      <c r="D146" s="2" t="s">
        <v>18</v>
      </c>
      <c r="E146" s="2" t="s">
        <v>377</v>
      </c>
      <c r="F146" s="2" t="s">
        <v>376</v>
      </c>
      <c r="G146" s="2" t="s">
        <v>375</v>
      </c>
      <c r="H146" s="2" t="s">
        <v>374</v>
      </c>
      <c r="I146" s="2" t="s">
        <v>373</v>
      </c>
      <c r="J146" s="2" t="s">
        <v>372</v>
      </c>
      <c r="K146" s="2">
        <v>2795.38</v>
      </c>
      <c r="L146" s="2">
        <v>423.01</v>
      </c>
      <c r="M146" s="2">
        <v>846.02</v>
      </c>
      <c r="N146" s="2">
        <v>5920</v>
      </c>
      <c r="O146" s="2">
        <v>6795</v>
      </c>
      <c r="P146" s="2">
        <f t="shared" si="5"/>
        <v>12715</v>
      </c>
      <c r="Q146" s="2" t="s">
        <v>86</v>
      </c>
      <c r="R146" s="2">
        <v>1</v>
      </c>
      <c r="S146" s="2">
        <v>4</v>
      </c>
      <c r="T146" s="2">
        <v>0</v>
      </c>
      <c r="U146" s="2">
        <v>0</v>
      </c>
      <c r="V146" s="2">
        <v>0</v>
      </c>
      <c r="W146" s="2">
        <v>28</v>
      </c>
      <c r="X146" s="2">
        <v>11</v>
      </c>
      <c r="Y146" s="2">
        <v>2</v>
      </c>
      <c r="Z146" s="2">
        <v>4</v>
      </c>
      <c r="AA146" s="2">
        <v>4</v>
      </c>
      <c r="AB146" s="2">
        <v>0</v>
      </c>
      <c r="AC146" s="2">
        <v>0</v>
      </c>
      <c r="AD146" s="2">
        <v>1</v>
      </c>
      <c r="AE146" s="2">
        <v>35</v>
      </c>
      <c r="AF146" s="2">
        <v>40</v>
      </c>
      <c r="AG146" s="2">
        <v>400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1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3">
        <f>DATE(BE146, MATCH(TRIM(BD146), {"ENERO";"FEBRERO";"MARZO";"ABRIL";"MAYO";"JUNIO";"JULIO";"AGOSTO";"SEPTIEMBRE";"OCTUBRE";"NOVIEMBRE";"DICIEMBRE"}, 0), BC146)</f>
        <v>45098</v>
      </c>
      <c r="BC146" s="2">
        <v>21</v>
      </c>
      <c r="BD146" s="2" t="s">
        <v>71</v>
      </c>
      <c r="BE146" s="2">
        <v>2023</v>
      </c>
      <c r="BF146" s="2"/>
      <c r="BG146" s="2">
        <v>1</v>
      </c>
      <c r="BH146" s="2">
        <v>1</v>
      </c>
      <c r="BI146" s="2" t="s">
        <v>143</v>
      </c>
      <c r="BJ146" s="2" t="s">
        <v>0</v>
      </c>
      <c r="BK146" s="2"/>
      <c r="BL146" s="2"/>
    </row>
    <row r="147" spans="1:64" ht="18.75" x14ac:dyDescent="0.25">
      <c r="A147" s="2">
        <v>146</v>
      </c>
      <c r="B147" s="2" t="str">
        <f t="shared" si="4"/>
        <v>ADN-P-146</v>
      </c>
      <c r="C147" s="2" t="s">
        <v>119</v>
      </c>
      <c r="D147" s="2" t="s">
        <v>118</v>
      </c>
      <c r="E147" s="2" t="s">
        <v>371</v>
      </c>
      <c r="F147" s="2" t="s">
        <v>370</v>
      </c>
      <c r="G147" s="2" t="s">
        <v>369</v>
      </c>
      <c r="H147" s="2" t="s">
        <v>368</v>
      </c>
      <c r="I147" s="2" t="s">
        <v>367</v>
      </c>
      <c r="J147" s="2" t="s">
        <v>361</v>
      </c>
      <c r="K147" s="2">
        <v>910.46</v>
      </c>
      <c r="L147" s="2">
        <v>96.94</v>
      </c>
      <c r="M147" s="2">
        <v>193.88</v>
      </c>
      <c r="N147" s="2">
        <v>13747</v>
      </c>
      <c r="O147" s="2">
        <v>14873</v>
      </c>
      <c r="P147" s="2">
        <f t="shared" si="5"/>
        <v>28620</v>
      </c>
      <c r="Q147" s="2" t="s">
        <v>86</v>
      </c>
      <c r="R147" s="2">
        <v>1</v>
      </c>
      <c r="S147" s="2">
        <v>0</v>
      </c>
      <c r="T147" s="2">
        <v>1</v>
      </c>
      <c r="U147" s="2">
        <v>0</v>
      </c>
      <c r="V147" s="2">
        <v>0</v>
      </c>
      <c r="W147" s="2">
        <v>8</v>
      </c>
      <c r="X147" s="2">
        <v>0</v>
      </c>
      <c r="Y147" s="2">
        <v>0</v>
      </c>
      <c r="Z147" s="2">
        <v>0</v>
      </c>
      <c r="AA147" s="2">
        <v>0</v>
      </c>
      <c r="AB147" s="2">
        <v>3</v>
      </c>
      <c r="AC147" s="2">
        <v>0</v>
      </c>
      <c r="AD147" s="2">
        <v>0</v>
      </c>
      <c r="AE147" s="2">
        <v>5</v>
      </c>
      <c r="AF147" s="2">
        <v>8</v>
      </c>
      <c r="AG147" s="2">
        <v>23.1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3">
        <f>DATE(BE147, MATCH(TRIM(BD147), {"ENERO";"FEBRERO";"MARZO";"ABRIL";"MAYO";"JUNIO";"JULIO";"AGOSTO";"SEPTIEMBRE";"OCTUBRE";"NOVIEMBRE";"DICIEMBRE"}, 0), BC147)</f>
        <v>45112</v>
      </c>
      <c r="BC147" s="2">
        <v>5</v>
      </c>
      <c r="BD147" s="2" t="s">
        <v>57</v>
      </c>
      <c r="BE147" s="2">
        <v>2023</v>
      </c>
      <c r="BF147" s="2"/>
      <c r="BG147" s="2">
        <v>3</v>
      </c>
      <c r="BH147" s="2">
        <v>1</v>
      </c>
      <c r="BI147" s="2" t="s">
        <v>1</v>
      </c>
      <c r="BJ147" s="2" t="s">
        <v>0</v>
      </c>
      <c r="BK147" s="2"/>
      <c r="BL147" s="2"/>
    </row>
    <row r="148" spans="1:64" ht="18.75" x14ac:dyDescent="0.25">
      <c r="A148" s="2">
        <v>147</v>
      </c>
      <c r="B148" s="2" t="str">
        <f t="shared" si="4"/>
        <v>ADN-P-147</v>
      </c>
      <c r="C148" s="2" t="s">
        <v>119</v>
      </c>
      <c r="D148" s="2" t="s">
        <v>118</v>
      </c>
      <c r="E148" s="2" t="s">
        <v>366</v>
      </c>
      <c r="F148" s="2" t="s">
        <v>365</v>
      </c>
      <c r="G148" s="2" t="s">
        <v>364</v>
      </c>
      <c r="H148" s="2" t="s">
        <v>363</v>
      </c>
      <c r="I148" s="2" t="s">
        <v>362</v>
      </c>
      <c r="J148" s="2" t="s">
        <v>361</v>
      </c>
      <c r="K148" s="2">
        <v>2545.63</v>
      </c>
      <c r="L148" s="2">
        <v>266.83999999999997</v>
      </c>
      <c r="M148" s="2">
        <v>533.67999999999995</v>
      </c>
      <c r="N148" s="2">
        <v>13747</v>
      </c>
      <c r="O148" s="2">
        <v>14873</v>
      </c>
      <c r="P148" s="2">
        <f t="shared" si="5"/>
        <v>28620</v>
      </c>
      <c r="Q148" s="2" t="s">
        <v>86</v>
      </c>
      <c r="R148" s="2">
        <v>1</v>
      </c>
      <c r="S148" s="2">
        <v>2</v>
      </c>
      <c r="T148" s="2">
        <v>2</v>
      </c>
      <c r="U148" s="2">
        <v>0</v>
      </c>
      <c r="V148" s="2">
        <v>0</v>
      </c>
      <c r="W148" s="2">
        <v>24</v>
      </c>
      <c r="X148" s="2">
        <v>9</v>
      </c>
      <c r="Y148" s="2">
        <v>2</v>
      </c>
      <c r="Z148" s="2">
        <v>3</v>
      </c>
      <c r="AA148" s="2">
        <v>5</v>
      </c>
      <c r="AB148" s="2">
        <v>3</v>
      </c>
      <c r="AC148" s="2">
        <v>0</v>
      </c>
      <c r="AD148" s="2">
        <v>1</v>
      </c>
      <c r="AE148" s="2">
        <v>16</v>
      </c>
      <c r="AF148" s="2">
        <v>19</v>
      </c>
      <c r="AG148" s="2">
        <v>60.13</v>
      </c>
      <c r="AH148" s="2">
        <v>0</v>
      </c>
      <c r="AI148" s="2">
        <v>0</v>
      </c>
      <c r="AJ148" s="2">
        <v>1</v>
      </c>
      <c r="AK148" s="2">
        <v>0</v>
      </c>
      <c r="AL148" s="2">
        <v>7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3">
        <f>DATE(BE148, MATCH(TRIM(BD148), {"ENERO";"FEBRERO";"MARZO";"ABRIL";"MAYO";"JUNIO";"JULIO";"AGOSTO";"SEPTIEMBRE";"OCTUBRE";"NOVIEMBRE";"DICIEMBRE"}, 0), BC148)</f>
        <v>45138</v>
      </c>
      <c r="BC148" s="2">
        <v>31</v>
      </c>
      <c r="BD148" s="2" t="s">
        <v>57</v>
      </c>
      <c r="BE148" s="2">
        <v>2023</v>
      </c>
      <c r="BF148" s="2"/>
      <c r="BG148" s="2">
        <v>3</v>
      </c>
      <c r="BH148" s="2">
        <v>1</v>
      </c>
      <c r="BI148" s="2" t="s">
        <v>143</v>
      </c>
      <c r="BJ148" s="2" t="s">
        <v>0</v>
      </c>
      <c r="BK148" s="2"/>
      <c r="BL148" s="2"/>
    </row>
    <row r="149" spans="1:64" ht="18.75" x14ac:dyDescent="0.25">
      <c r="A149" s="2">
        <v>148</v>
      </c>
      <c r="B149" s="2" t="str">
        <f t="shared" si="4"/>
        <v>ADN-P-148</v>
      </c>
      <c r="C149" s="2" t="s">
        <v>19</v>
      </c>
      <c r="D149" s="2" t="s">
        <v>18</v>
      </c>
      <c r="E149" s="2" t="s">
        <v>360</v>
      </c>
      <c r="F149" s="2" t="s">
        <v>359</v>
      </c>
      <c r="G149" s="2" t="s">
        <v>358</v>
      </c>
      <c r="H149" s="2" t="s">
        <v>357</v>
      </c>
      <c r="I149" s="2" t="s">
        <v>356</v>
      </c>
      <c r="J149" s="2" t="s">
        <v>344</v>
      </c>
      <c r="K149" s="2">
        <v>8658.7999999999993</v>
      </c>
      <c r="L149" s="2">
        <v>199.91</v>
      </c>
      <c r="M149" s="2">
        <v>399.82</v>
      </c>
      <c r="N149" s="2">
        <v>7227</v>
      </c>
      <c r="O149" s="2">
        <v>7824</v>
      </c>
      <c r="P149" s="2">
        <f t="shared" si="5"/>
        <v>15051</v>
      </c>
      <c r="Q149" s="2" t="s">
        <v>86</v>
      </c>
      <c r="R149" s="2">
        <v>1</v>
      </c>
      <c r="S149" s="2">
        <v>2</v>
      </c>
      <c r="T149" s="2">
        <v>2</v>
      </c>
      <c r="U149" s="2">
        <v>0</v>
      </c>
      <c r="V149" s="2">
        <v>0</v>
      </c>
      <c r="W149" s="2">
        <v>43</v>
      </c>
      <c r="X149" s="2">
        <v>14</v>
      </c>
      <c r="Y149" s="2">
        <v>1</v>
      </c>
      <c r="Z149" s="2">
        <v>7</v>
      </c>
      <c r="AA149" s="2">
        <v>12</v>
      </c>
      <c r="AB149" s="2">
        <v>0</v>
      </c>
      <c r="AC149" s="2">
        <v>1</v>
      </c>
      <c r="AD149" s="2">
        <v>0</v>
      </c>
      <c r="AE149" s="2">
        <v>266</v>
      </c>
      <c r="AF149" s="2">
        <v>532</v>
      </c>
      <c r="AG149" s="2" t="s">
        <v>355</v>
      </c>
      <c r="AH149" s="2">
        <v>0</v>
      </c>
      <c r="AI149" s="2">
        <v>1</v>
      </c>
      <c r="AJ149" s="2">
        <v>4</v>
      </c>
      <c r="AK149" s="2">
        <v>1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3">
        <f>DATE(BE149, MATCH(TRIM(BD149), {"ENERO";"FEBRERO";"MARZO";"ABRIL";"MAYO";"JUNIO";"JULIO";"AGOSTO";"SEPTIEMBRE";"OCTUBRE";"NOVIEMBRE";"DICIEMBRE"}, 0), BC149)</f>
        <v>45144</v>
      </c>
      <c r="BC149" s="2">
        <v>6</v>
      </c>
      <c r="BD149" s="2" t="s">
        <v>50</v>
      </c>
      <c r="BE149" s="2">
        <v>2023</v>
      </c>
      <c r="BF149" s="2"/>
      <c r="BG149" s="2">
        <v>1</v>
      </c>
      <c r="BH149" s="2">
        <v>1</v>
      </c>
      <c r="BI149" s="2" t="s">
        <v>1</v>
      </c>
      <c r="BJ149" s="2" t="s">
        <v>0</v>
      </c>
      <c r="BK149" s="2"/>
      <c r="BL149" s="2"/>
    </row>
    <row r="150" spans="1:64" ht="18.75" x14ac:dyDescent="0.25">
      <c r="A150" s="2">
        <v>149</v>
      </c>
      <c r="B150" s="2" t="str">
        <f t="shared" si="4"/>
        <v>ADN-P-149</v>
      </c>
      <c r="C150" s="2" t="s">
        <v>19</v>
      </c>
      <c r="D150" s="2" t="s">
        <v>18</v>
      </c>
      <c r="E150" s="2" t="s">
        <v>354</v>
      </c>
      <c r="F150" s="2" t="s">
        <v>353</v>
      </c>
      <c r="G150" s="2" t="s">
        <v>352</v>
      </c>
      <c r="H150" s="2" t="s">
        <v>351</v>
      </c>
      <c r="I150" s="2" t="s">
        <v>350</v>
      </c>
      <c r="J150" s="2" t="s">
        <v>344</v>
      </c>
      <c r="K150" s="2">
        <v>9192.83</v>
      </c>
      <c r="L150" s="2">
        <v>140.30000000000001</v>
      </c>
      <c r="M150" s="2">
        <v>280.60000000000002</v>
      </c>
      <c r="N150" s="2">
        <v>7227</v>
      </c>
      <c r="O150" s="2">
        <v>7824</v>
      </c>
      <c r="P150" s="2">
        <f t="shared" si="5"/>
        <v>15051</v>
      </c>
      <c r="Q150" s="2" t="s">
        <v>86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400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3">
        <f>DATE(BE150, MATCH(TRIM(BD150), {"ENERO";"FEBRERO";"MARZO";"ABRIL";"MAYO";"JUNIO";"JULIO";"AGOSTO";"SEPTIEMBRE";"OCTUBRE";"NOVIEMBRE";"DICIEMBRE"}, 0), BC150)</f>
        <v>45144</v>
      </c>
      <c r="BC150" s="2">
        <v>6</v>
      </c>
      <c r="BD150" s="2" t="s">
        <v>50</v>
      </c>
      <c r="BE150" s="2">
        <v>2023</v>
      </c>
      <c r="BF150" s="2"/>
      <c r="BG150" s="2">
        <v>1</v>
      </c>
      <c r="BH150" s="2">
        <v>1</v>
      </c>
      <c r="BI150" s="2" t="s">
        <v>1</v>
      </c>
      <c r="BJ150" s="2" t="s">
        <v>0</v>
      </c>
      <c r="BK150" s="2"/>
      <c r="BL150" s="2"/>
    </row>
    <row r="151" spans="1:64" ht="18.75" x14ac:dyDescent="0.25">
      <c r="A151" s="2">
        <v>150</v>
      </c>
      <c r="B151" s="2" t="str">
        <f t="shared" si="4"/>
        <v>ADN-P-150</v>
      </c>
      <c r="C151" s="2" t="s">
        <v>19</v>
      </c>
      <c r="D151" s="2" t="s">
        <v>18</v>
      </c>
      <c r="E151" s="2" t="s">
        <v>349</v>
      </c>
      <c r="F151" s="2" t="s">
        <v>348</v>
      </c>
      <c r="G151" s="2" t="s">
        <v>347</v>
      </c>
      <c r="H151" s="2" t="s">
        <v>346</v>
      </c>
      <c r="I151" s="2" t="s">
        <v>345</v>
      </c>
      <c r="J151" s="2" t="s">
        <v>344</v>
      </c>
      <c r="K151" s="2" t="s">
        <v>343</v>
      </c>
      <c r="L151" s="2">
        <v>73.98</v>
      </c>
      <c r="M151" s="2">
        <v>147.96</v>
      </c>
      <c r="N151" s="2">
        <v>7227</v>
      </c>
      <c r="O151" s="2">
        <v>7824</v>
      </c>
      <c r="P151" s="2">
        <f t="shared" si="5"/>
        <v>15051</v>
      </c>
      <c r="Q151" s="2" t="s">
        <v>192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25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3">
        <f>DATE(BE151, MATCH(TRIM(BD151), {"ENERO";"FEBRERO";"MARZO";"ABRIL";"MAYO";"JUNIO";"JULIO";"AGOSTO";"SEPTIEMBRE";"OCTUBRE";"NOVIEMBRE";"DICIEMBRE"}, 0), BC151)</f>
        <v>45144</v>
      </c>
      <c r="BC151" s="2">
        <v>6</v>
      </c>
      <c r="BD151" s="2" t="s">
        <v>50</v>
      </c>
      <c r="BE151" s="2">
        <v>2023</v>
      </c>
      <c r="BF151" s="2"/>
      <c r="BG151" s="2">
        <v>1</v>
      </c>
      <c r="BH151" s="2">
        <v>1</v>
      </c>
      <c r="BI151" s="2" t="s">
        <v>1</v>
      </c>
      <c r="BJ151" s="2" t="s">
        <v>0</v>
      </c>
      <c r="BK151" s="2"/>
      <c r="BL151" s="2"/>
    </row>
    <row r="152" spans="1:64" ht="18.75" x14ac:dyDescent="0.25">
      <c r="A152" s="2">
        <v>151</v>
      </c>
      <c r="B152" s="2" t="str">
        <f t="shared" si="4"/>
        <v>ADN-P-151</v>
      </c>
      <c r="C152" s="2" t="s">
        <v>19</v>
      </c>
      <c r="D152" s="2" t="s">
        <v>47</v>
      </c>
      <c r="E152" s="2" t="s">
        <v>342</v>
      </c>
      <c r="F152" s="2" t="s">
        <v>341</v>
      </c>
      <c r="G152" s="2" t="s">
        <v>340</v>
      </c>
      <c r="H152" s="2" t="s">
        <v>339</v>
      </c>
      <c r="I152" s="2" t="s">
        <v>338</v>
      </c>
      <c r="J152" s="2" t="s">
        <v>337</v>
      </c>
      <c r="K152" s="2">
        <v>150.44999999999999</v>
      </c>
      <c r="L152" s="2">
        <v>11.44</v>
      </c>
      <c r="M152" s="2">
        <v>22.88</v>
      </c>
      <c r="N152" s="2">
        <v>2347</v>
      </c>
      <c r="O152" s="2">
        <v>2904</v>
      </c>
      <c r="P152" s="2">
        <f t="shared" si="5"/>
        <v>5251</v>
      </c>
      <c r="Q152" s="2" t="s">
        <v>86</v>
      </c>
      <c r="R152" s="2">
        <v>1</v>
      </c>
      <c r="S152" s="2">
        <v>1</v>
      </c>
      <c r="T152" s="2">
        <v>0</v>
      </c>
      <c r="U152" s="2">
        <v>0</v>
      </c>
      <c r="V152" s="2">
        <v>0</v>
      </c>
      <c r="W152" s="2">
        <v>0</v>
      </c>
      <c r="X152" s="2">
        <v>2</v>
      </c>
      <c r="Y152" s="2">
        <v>0</v>
      </c>
      <c r="Z152" s="2">
        <v>0</v>
      </c>
      <c r="AA152" s="2">
        <v>6</v>
      </c>
      <c r="AB152" s="2">
        <v>3</v>
      </c>
      <c r="AC152" s="2">
        <v>0</v>
      </c>
      <c r="AD152" s="2">
        <v>1</v>
      </c>
      <c r="AE152" s="2">
        <v>4</v>
      </c>
      <c r="AF152" s="2">
        <v>4</v>
      </c>
      <c r="AG152" s="2">
        <v>56.1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3">
        <f>DATE(BE152, MATCH(TRIM(BD152), {"ENERO";"FEBRERO";"MARZO";"ABRIL";"MAYO";"JUNIO";"JULIO";"AGOSTO";"SEPTIEMBRE";"OCTUBRE";"NOVIEMBRE";"DICIEMBRE"}, 0), BC152)</f>
        <v>45158</v>
      </c>
      <c r="BC152" s="2">
        <v>20</v>
      </c>
      <c r="BD152" s="2" t="s">
        <v>50</v>
      </c>
      <c r="BE152" s="2">
        <v>2023</v>
      </c>
      <c r="BF152" s="2"/>
      <c r="BG152" s="2">
        <v>1</v>
      </c>
      <c r="BH152" s="2">
        <v>1</v>
      </c>
      <c r="BI152" s="2" t="s">
        <v>1</v>
      </c>
      <c r="BJ152" s="2" t="s">
        <v>0</v>
      </c>
      <c r="BK152" s="2"/>
      <c r="BL152" s="2"/>
    </row>
    <row r="153" spans="1:64" ht="18.75" x14ac:dyDescent="0.25">
      <c r="A153" s="2">
        <v>152</v>
      </c>
      <c r="B153" s="2" t="str">
        <f t="shared" si="4"/>
        <v>ADN-P-152</v>
      </c>
      <c r="C153" s="2" t="s">
        <v>19</v>
      </c>
      <c r="D153" s="2" t="s">
        <v>47</v>
      </c>
      <c r="E153" s="2" t="s">
        <v>336</v>
      </c>
      <c r="F153" s="2" t="s">
        <v>335</v>
      </c>
      <c r="G153" s="2" t="s">
        <v>334</v>
      </c>
      <c r="H153" s="2" t="s">
        <v>333</v>
      </c>
      <c r="I153" s="2" t="s">
        <v>332</v>
      </c>
      <c r="J153" s="2" t="s">
        <v>331</v>
      </c>
      <c r="K153" s="2">
        <v>2259.67</v>
      </c>
      <c r="L153" s="2">
        <v>211.43</v>
      </c>
      <c r="M153" s="2">
        <v>422.86</v>
      </c>
      <c r="N153" s="2">
        <v>4771</v>
      </c>
      <c r="O153" s="2">
        <v>5673</v>
      </c>
      <c r="P153" s="2">
        <f t="shared" si="5"/>
        <v>10444</v>
      </c>
      <c r="Q153" s="2" t="s">
        <v>86</v>
      </c>
      <c r="R153" s="2">
        <v>1</v>
      </c>
      <c r="S153" s="2">
        <v>2</v>
      </c>
      <c r="T153" s="2">
        <v>2</v>
      </c>
      <c r="U153" s="2">
        <v>1</v>
      </c>
      <c r="V153" s="2">
        <v>0</v>
      </c>
      <c r="W153" s="2">
        <v>44</v>
      </c>
      <c r="X153" s="2">
        <v>9</v>
      </c>
      <c r="Y153" s="2">
        <v>2</v>
      </c>
      <c r="Z153" s="2">
        <v>2</v>
      </c>
      <c r="AA153" s="2">
        <v>5</v>
      </c>
      <c r="AB153" s="2">
        <v>3</v>
      </c>
      <c r="AC153" s="2">
        <v>1</v>
      </c>
      <c r="AD153" s="2">
        <v>4</v>
      </c>
      <c r="AE153" s="2">
        <v>30</v>
      </c>
      <c r="AF153" s="2">
        <v>30</v>
      </c>
      <c r="AG153" s="2">
        <v>325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3">
        <f>DATE(BE153, MATCH(TRIM(BD153), {"ENERO";"FEBRERO";"MARZO";"ABRIL";"MAYO";"JUNIO";"JULIO";"AGOSTO";"SEPTIEMBRE";"OCTUBRE";"NOVIEMBRE";"DICIEMBRE"}, 0), BC153)</f>
        <v>45174</v>
      </c>
      <c r="BC153" s="2">
        <v>5</v>
      </c>
      <c r="BD153" s="2" t="s">
        <v>33</v>
      </c>
      <c r="BE153" s="2">
        <v>2023</v>
      </c>
      <c r="BF153" s="2"/>
      <c r="BG153" s="2">
        <v>1</v>
      </c>
      <c r="BH153" s="2">
        <v>1</v>
      </c>
      <c r="BI153" s="2" t="s">
        <v>143</v>
      </c>
      <c r="BJ153" s="2" t="s">
        <v>0</v>
      </c>
      <c r="BK153" s="2"/>
      <c r="BL153" s="2"/>
    </row>
    <row r="154" spans="1:64" ht="18.75" x14ac:dyDescent="0.25">
      <c r="A154" s="2">
        <v>153</v>
      </c>
      <c r="B154" s="2" t="str">
        <f t="shared" si="4"/>
        <v>ADN-P-153</v>
      </c>
      <c r="C154" s="2" t="s">
        <v>19</v>
      </c>
      <c r="D154" s="2" t="s">
        <v>47</v>
      </c>
      <c r="E154" s="2" t="s">
        <v>330</v>
      </c>
      <c r="F154" s="2" t="s">
        <v>329</v>
      </c>
      <c r="G154" s="2" t="s">
        <v>328</v>
      </c>
      <c r="H154" s="2" t="s">
        <v>327</v>
      </c>
      <c r="I154" s="2" t="s">
        <v>326</v>
      </c>
      <c r="J154" s="2" t="s">
        <v>325</v>
      </c>
      <c r="K154" s="2">
        <v>4461</v>
      </c>
      <c r="L154" s="2">
        <v>244.31</v>
      </c>
      <c r="M154" s="2">
        <v>488.62</v>
      </c>
      <c r="N154" s="2">
        <v>3275</v>
      </c>
      <c r="O154" s="2">
        <v>3832</v>
      </c>
      <c r="P154" s="2">
        <f t="shared" si="5"/>
        <v>7107</v>
      </c>
      <c r="Q154" s="2" t="s">
        <v>86</v>
      </c>
      <c r="R154" s="2">
        <v>1</v>
      </c>
      <c r="S154" s="2">
        <v>6</v>
      </c>
      <c r="T154" s="2">
        <v>1</v>
      </c>
      <c r="U154" s="2">
        <v>1</v>
      </c>
      <c r="V154" s="2">
        <v>0</v>
      </c>
      <c r="W154" s="2">
        <v>64</v>
      </c>
      <c r="X154" s="2">
        <v>13</v>
      </c>
      <c r="Y154" s="2">
        <v>6</v>
      </c>
      <c r="Z154" s="2">
        <v>6</v>
      </c>
      <c r="AA154" s="2">
        <v>7</v>
      </c>
      <c r="AB154" s="2">
        <v>0</v>
      </c>
      <c r="AC154" s="2">
        <v>5</v>
      </c>
      <c r="AD154" s="2">
        <v>2</v>
      </c>
      <c r="AE154" s="2">
        <v>41</v>
      </c>
      <c r="AF154" s="2">
        <v>6</v>
      </c>
      <c r="AG154" s="2" t="s">
        <v>324</v>
      </c>
      <c r="AH154" s="2">
        <v>0</v>
      </c>
      <c r="AI154" s="2">
        <v>4</v>
      </c>
      <c r="AJ154" s="2">
        <v>0</v>
      </c>
      <c r="AK154" s="2">
        <v>0</v>
      </c>
      <c r="AL154" s="2">
        <v>5</v>
      </c>
      <c r="AM154" s="2">
        <v>1</v>
      </c>
      <c r="AN154" s="2">
        <v>0</v>
      </c>
      <c r="AO154" s="2">
        <v>1</v>
      </c>
      <c r="AP154" s="2">
        <v>0</v>
      </c>
      <c r="AQ154" s="2">
        <v>2</v>
      </c>
      <c r="AR154" s="2">
        <v>0</v>
      </c>
      <c r="AS154" s="2">
        <v>1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3">
        <f>DATE(BE154, MATCH(TRIM(BD154), {"ENERO";"FEBRERO";"MARZO";"ABRIL";"MAYO";"JUNIO";"JULIO";"AGOSTO";"SEPTIEMBRE";"OCTUBRE";"NOVIEMBRE";"DICIEMBRE"}, 0), BC154)</f>
        <v>45216</v>
      </c>
      <c r="BC154" s="2">
        <v>17</v>
      </c>
      <c r="BD154" s="2" t="s">
        <v>26</v>
      </c>
      <c r="BE154" s="2">
        <v>2023</v>
      </c>
      <c r="BF154" s="2"/>
      <c r="BG154" s="2">
        <v>1</v>
      </c>
      <c r="BH154" s="2">
        <v>1</v>
      </c>
      <c r="BI154" s="2" t="s">
        <v>1</v>
      </c>
      <c r="BJ154" s="2" t="s">
        <v>0</v>
      </c>
      <c r="BK154" s="2"/>
      <c r="BL154" s="2"/>
    </row>
    <row r="155" spans="1:64" ht="18.75" x14ac:dyDescent="0.25">
      <c r="A155" s="2">
        <v>154</v>
      </c>
      <c r="B155" s="2" t="str">
        <f t="shared" si="4"/>
        <v>ADN-P-154</v>
      </c>
      <c r="C155" s="2" t="s">
        <v>19</v>
      </c>
      <c r="D155" s="2" t="s">
        <v>18</v>
      </c>
      <c r="E155" s="2" t="s">
        <v>323</v>
      </c>
      <c r="F155" s="2" t="s">
        <v>322</v>
      </c>
      <c r="G155" s="2" t="s">
        <v>321</v>
      </c>
      <c r="H155" s="2" t="s">
        <v>320</v>
      </c>
      <c r="I155" s="2" t="s">
        <v>319</v>
      </c>
      <c r="J155" s="2" t="s">
        <v>185</v>
      </c>
      <c r="K155" s="2">
        <v>8392</v>
      </c>
      <c r="L155" s="2">
        <v>412.77</v>
      </c>
      <c r="M155" s="2">
        <v>825.54</v>
      </c>
      <c r="N155" s="2">
        <v>5920</v>
      </c>
      <c r="O155" s="2">
        <v>6795</v>
      </c>
      <c r="P155" s="2">
        <f t="shared" si="5"/>
        <v>12715</v>
      </c>
      <c r="Q155" s="2" t="s">
        <v>86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2</v>
      </c>
      <c r="AC155" s="2">
        <v>0</v>
      </c>
      <c r="AD155" s="2">
        <v>0</v>
      </c>
      <c r="AE155" s="2">
        <v>79</v>
      </c>
      <c r="AF155" s="2">
        <v>79</v>
      </c>
      <c r="AG155" s="2"/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3">
        <f>DATE(BE155, MATCH(TRIM(BD155), {"ENERO";"FEBRERO";"MARZO";"ABRIL";"MAYO";"JUNIO";"JULIO";"AGOSTO";"SEPTIEMBRE";"OCTUBRE";"NOVIEMBRE";"DICIEMBRE"}, 0), BC155)</f>
        <v>45224</v>
      </c>
      <c r="BC155" s="2">
        <v>25</v>
      </c>
      <c r="BD155" s="2" t="s">
        <v>26</v>
      </c>
      <c r="BE155" s="2">
        <v>2023</v>
      </c>
      <c r="BF155" s="2"/>
      <c r="BG155" s="2">
        <v>1</v>
      </c>
      <c r="BH155" s="2">
        <v>1</v>
      </c>
      <c r="BI155" s="2" t="s">
        <v>1</v>
      </c>
      <c r="BJ155" s="2" t="s">
        <v>0</v>
      </c>
      <c r="BK155" s="2"/>
      <c r="BL155" s="2"/>
    </row>
    <row r="156" spans="1:64" ht="18.75" x14ac:dyDescent="0.25">
      <c r="A156" s="2">
        <v>155</v>
      </c>
      <c r="B156" s="2" t="str">
        <f t="shared" si="4"/>
        <v>ADN-P-155</v>
      </c>
      <c r="C156" s="2" t="s">
        <v>9</v>
      </c>
      <c r="D156" s="2" t="s">
        <v>78</v>
      </c>
      <c r="E156" s="2" t="s">
        <v>318</v>
      </c>
      <c r="F156" s="2" t="s">
        <v>317</v>
      </c>
      <c r="G156" s="2" t="s">
        <v>316</v>
      </c>
      <c r="H156" s="2" t="s">
        <v>315</v>
      </c>
      <c r="I156" s="2" t="s">
        <v>314</v>
      </c>
      <c r="J156" s="2" t="s">
        <v>297</v>
      </c>
      <c r="K156" s="2">
        <v>453</v>
      </c>
      <c r="L156" s="2">
        <v>109.37</v>
      </c>
      <c r="M156" s="2">
        <v>218.74</v>
      </c>
      <c r="N156" s="2">
        <v>27448</v>
      </c>
      <c r="O156" s="2">
        <v>29158</v>
      </c>
      <c r="P156" s="2">
        <f t="shared" si="5"/>
        <v>56606</v>
      </c>
      <c r="Q156" s="2" t="s">
        <v>86</v>
      </c>
      <c r="R156" s="2">
        <v>1</v>
      </c>
      <c r="S156" s="2">
        <v>1</v>
      </c>
      <c r="T156" s="2">
        <v>0</v>
      </c>
      <c r="U156" s="2">
        <v>0</v>
      </c>
      <c r="V156" s="2">
        <v>0</v>
      </c>
      <c r="W156" s="2">
        <v>10</v>
      </c>
      <c r="X156" s="2">
        <v>6</v>
      </c>
      <c r="Y156" s="2">
        <v>1</v>
      </c>
      <c r="Z156" s="2">
        <v>2</v>
      </c>
      <c r="AA156" s="2">
        <v>3</v>
      </c>
      <c r="AB156" s="2">
        <v>3</v>
      </c>
      <c r="AC156" s="2">
        <v>0</v>
      </c>
      <c r="AD156" s="2">
        <v>0</v>
      </c>
      <c r="AE156" s="2">
        <v>7</v>
      </c>
      <c r="AF156" s="2">
        <v>7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3">
        <f>DATE(BE156, MATCH(TRIM(BD156), {"ENERO";"FEBRERO";"MARZO";"ABRIL";"MAYO";"JUNIO";"JULIO";"AGOSTO";"SEPTIEMBRE";"OCTUBRE";"NOVIEMBRE";"DICIEMBRE"}, 0), BC156)</f>
        <v>45245</v>
      </c>
      <c r="BC156" s="2">
        <v>15</v>
      </c>
      <c r="BD156" s="2" t="s">
        <v>20</v>
      </c>
      <c r="BE156" s="2">
        <v>2023</v>
      </c>
      <c r="BF156" s="2"/>
      <c r="BG156" s="2">
        <v>2</v>
      </c>
      <c r="BH156" s="2">
        <v>1</v>
      </c>
      <c r="BI156" s="2" t="s">
        <v>1</v>
      </c>
      <c r="BJ156" s="2" t="s">
        <v>0</v>
      </c>
      <c r="BK156" s="2"/>
      <c r="BL156" s="2"/>
    </row>
    <row r="157" spans="1:64" ht="18.75" x14ac:dyDescent="0.25">
      <c r="A157" s="2">
        <v>156</v>
      </c>
      <c r="B157" s="2" t="str">
        <f t="shared" si="4"/>
        <v>ADN-P-156</v>
      </c>
      <c r="C157" s="2" t="s">
        <v>19</v>
      </c>
      <c r="D157" s="2" t="s">
        <v>47</v>
      </c>
      <c r="E157" s="2" t="s">
        <v>313</v>
      </c>
      <c r="F157" s="2" t="s">
        <v>312</v>
      </c>
      <c r="G157" s="2" t="s">
        <v>311</v>
      </c>
      <c r="H157" s="2" t="s">
        <v>310</v>
      </c>
      <c r="I157" s="2" t="s">
        <v>309</v>
      </c>
      <c r="J157" s="2" t="s">
        <v>232</v>
      </c>
      <c r="K157" s="2">
        <v>683.16</v>
      </c>
      <c r="L157" s="2">
        <v>17.45</v>
      </c>
      <c r="M157" s="2">
        <v>34.9</v>
      </c>
      <c r="N157" s="2">
        <v>3275</v>
      </c>
      <c r="O157" s="2">
        <v>3832</v>
      </c>
      <c r="P157" s="2">
        <f t="shared" si="5"/>
        <v>7107</v>
      </c>
      <c r="Q157" s="2" t="s">
        <v>86</v>
      </c>
      <c r="R157" s="2">
        <v>1</v>
      </c>
      <c r="S157" s="2">
        <v>10</v>
      </c>
      <c r="T157" s="2">
        <v>1</v>
      </c>
      <c r="U157" s="2">
        <v>1</v>
      </c>
      <c r="V157" s="2">
        <v>0</v>
      </c>
      <c r="W157" s="2">
        <v>26</v>
      </c>
      <c r="X157" s="2">
        <v>8</v>
      </c>
      <c r="Y157" s="2">
        <v>2</v>
      </c>
      <c r="Z157" s="2">
        <v>3</v>
      </c>
      <c r="AA157" s="2">
        <v>4</v>
      </c>
      <c r="AB157" s="2">
        <v>0</v>
      </c>
      <c r="AC157" s="2">
        <v>1</v>
      </c>
      <c r="AD157" s="2">
        <v>1</v>
      </c>
      <c r="AE157" s="2">
        <v>23</v>
      </c>
      <c r="AF157" s="2">
        <v>23</v>
      </c>
      <c r="AG157" s="2">
        <v>174.2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3">
        <f>DATE(BE157, MATCH(TRIM(BD157), {"ENERO";"FEBRERO";"MARZO";"ABRIL";"MAYO";"JUNIO";"JULIO";"AGOSTO";"SEPTIEMBRE";"OCTUBRE";"NOVIEMBRE";"DICIEMBRE"}, 0), BC157)</f>
        <v>45259</v>
      </c>
      <c r="BC157" s="2">
        <v>29</v>
      </c>
      <c r="BD157" s="2" t="s">
        <v>20</v>
      </c>
      <c r="BE157" s="2">
        <v>2023</v>
      </c>
      <c r="BF157" s="2"/>
      <c r="BG157" s="2">
        <v>1</v>
      </c>
      <c r="BH157" s="2">
        <v>1</v>
      </c>
      <c r="BI157" s="2" t="s">
        <v>1</v>
      </c>
      <c r="BJ157" s="2" t="s">
        <v>0</v>
      </c>
      <c r="BK157" s="2"/>
      <c r="BL157" s="2"/>
    </row>
    <row r="158" spans="1:64" ht="18.75" x14ac:dyDescent="0.25">
      <c r="A158" s="2">
        <v>157</v>
      </c>
      <c r="B158" s="2" t="str">
        <f t="shared" si="4"/>
        <v>ADN-P-157</v>
      </c>
      <c r="C158" s="2" t="s">
        <v>19</v>
      </c>
      <c r="D158" s="2" t="s">
        <v>111</v>
      </c>
      <c r="E158" s="2" t="s">
        <v>308</v>
      </c>
      <c r="F158" s="2" t="s">
        <v>307</v>
      </c>
      <c r="G158" s="2" t="s">
        <v>306</v>
      </c>
      <c r="H158" s="2" t="s">
        <v>305</v>
      </c>
      <c r="I158" s="2" t="s">
        <v>304</v>
      </c>
      <c r="J158" s="2" t="s">
        <v>303</v>
      </c>
      <c r="K158" s="2">
        <v>1206.5899999999999</v>
      </c>
      <c r="L158" s="2">
        <v>0</v>
      </c>
      <c r="M158" s="2">
        <v>0</v>
      </c>
      <c r="N158" s="2">
        <v>85</v>
      </c>
      <c r="O158" s="2">
        <v>18</v>
      </c>
      <c r="P158" s="2">
        <f t="shared" si="5"/>
        <v>103</v>
      </c>
      <c r="Q158" s="2" t="s">
        <v>86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10</v>
      </c>
      <c r="AC158" s="2">
        <v>0</v>
      </c>
      <c r="AD158" s="2">
        <v>0</v>
      </c>
      <c r="AE158" s="2">
        <v>0</v>
      </c>
      <c r="AF158" s="2">
        <v>0</v>
      </c>
      <c r="AG158" s="2"/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3">
        <f>DATE(BE158, MATCH(TRIM(BD158), {"ENERO";"FEBRERO";"MARZO";"ABRIL";"MAYO";"JUNIO";"JULIO";"AGOSTO";"SEPTIEMBRE";"OCTUBRE";"NOVIEMBRE";"DICIEMBRE"}, 0), BC158)</f>
        <v>45260</v>
      </c>
      <c r="BC158" s="2">
        <v>30</v>
      </c>
      <c r="BD158" s="2" t="s">
        <v>20</v>
      </c>
      <c r="BE158" s="2">
        <v>2023</v>
      </c>
      <c r="BF158" s="2"/>
      <c r="BG158" s="2">
        <v>1</v>
      </c>
      <c r="BH158" s="2">
        <v>1</v>
      </c>
      <c r="BI158" s="2" t="s">
        <v>1</v>
      </c>
      <c r="BJ158" s="2" t="s">
        <v>0</v>
      </c>
      <c r="BK158" s="2"/>
      <c r="BL158" s="2"/>
    </row>
    <row r="159" spans="1:64" ht="18.75" x14ac:dyDescent="0.25">
      <c r="A159" s="2">
        <v>158</v>
      </c>
      <c r="B159" s="2" t="str">
        <f t="shared" si="4"/>
        <v>ADN-P-158</v>
      </c>
      <c r="C159" s="2" t="s">
        <v>9</v>
      </c>
      <c r="D159" s="2" t="s">
        <v>78</v>
      </c>
      <c r="E159" s="2" t="s">
        <v>302</v>
      </c>
      <c r="F159" s="2" t="s">
        <v>301</v>
      </c>
      <c r="G159" s="2" t="s">
        <v>300</v>
      </c>
      <c r="H159" s="2" t="s">
        <v>299</v>
      </c>
      <c r="I159" s="2" t="s">
        <v>298</v>
      </c>
      <c r="J159" s="2" t="s">
        <v>297</v>
      </c>
      <c r="K159" s="2">
        <v>5726.01</v>
      </c>
      <c r="L159" s="2">
        <v>278.79000000000002</v>
      </c>
      <c r="M159" s="2">
        <v>557.58000000000004</v>
      </c>
      <c r="N159" s="2">
        <v>27448</v>
      </c>
      <c r="O159" s="2">
        <v>29158</v>
      </c>
      <c r="P159" s="2">
        <f t="shared" si="5"/>
        <v>56606</v>
      </c>
      <c r="Q159" s="2" t="s">
        <v>86</v>
      </c>
      <c r="R159" s="2">
        <v>1</v>
      </c>
      <c r="S159" s="2">
        <v>5</v>
      </c>
      <c r="T159" s="2">
        <v>1</v>
      </c>
      <c r="U159" s="2">
        <v>0</v>
      </c>
      <c r="V159" s="2">
        <v>0</v>
      </c>
      <c r="W159" s="2">
        <v>100</v>
      </c>
      <c r="X159" s="2">
        <v>37</v>
      </c>
      <c r="Y159" s="2">
        <v>5</v>
      </c>
      <c r="Z159" s="2">
        <v>12</v>
      </c>
      <c r="AA159" s="2">
        <v>6</v>
      </c>
      <c r="AB159" s="2">
        <v>0</v>
      </c>
      <c r="AC159" s="2">
        <v>1</v>
      </c>
      <c r="AD159" s="2">
        <v>1</v>
      </c>
      <c r="AE159" s="2">
        <v>65</v>
      </c>
      <c r="AF159" s="2">
        <v>65</v>
      </c>
      <c r="AG159" s="2">
        <v>127</v>
      </c>
      <c r="AH159" s="2">
        <v>0</v>
      </c>
      <c r="AI159" s="2">
        <v>0</v>
      </c>
      <c r="AJ159" s="2">
        <v>0</v>
      </c>
      <c r="AK159" s="2">
        <v>3</v>
      </c>
      <c r="AL159" s="2">
        <v>16</v>
      </c>
      <c r="AM159" s="2">
        <v>0</v>
      </c>
      <c r="AN159" s="2">
        <v>0</v>
      </c>
      <c r="AO159" s="2">
        <v>1</v>
      </c>
      <c r="AP159" s="2">
        <v>0</v>
      </c>
      <c r="AQ159" s="2">
        <v>2</v>
      </c>
      <c r="AR159" s="2">
        <v>1</v>
      </c>
      <c r="AS159" s="2">
        <v>1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3">
        <f>DATE(BE159, MATCH(TRIM(BD159), {"ENERO";"FEBRERO";"MARZO";"ABRIL";"MAYO";"JUNIO";"JULIO";"AGOSTO";"SEPTIEMBRE";"OCTUBRE";"NOVIEMBRE";"DICIEMBRE"}, 0), BC159)</f>
        <v>45265</v>
      </c>
      <c r="BC159" s="2">
        <v>5</v>
      </c>
      <c r="BD159" s="2" t="s">
        <v>2</v>
      </c>
      <c r="BE159" s="2">
        <v>2023</v>
      </c>
      <c r="BF159" s="2"/>
      <c r="BG159" s="2">
        <v>2</v>
      </c>
      <c r="BH159" s="2">
        <v>1</v>
      </c>
      <c r="BI159" s="2" t="s">
        <v>1</v>
      </c>
      <c r="BJ159" s="2" t="s">
        <v>0</v>
      </c>
      <c r="BK159" s="2"/>
      <c r="BL159" s="2"/>
    </row>
    <row r="160" spans="1:64" ht="18.75" x14ac:dyDescent="0.25">
      <c r="A160" s="2">
        <v>159</v>
      </c>
      <c r="B160" s="2" t="str">
        <f t="shared" si="4"/>
        <v>ADN-P-159</v>
      </c>
      <c r="C160" s="2" t="s">
        <v>19</v>
      </c>
      <c r="D160" s="2" t="s">
        <v>47</v>
      </c>
      <c r="E160" s="2" t="s">
        <v>296</v>
      </c>
      <c r="F160" s="2" t="s">
        <v>295</v>
      </c>
      <c r="G160" s="2" t="s">
        <v>294</v>
      </c>
      <c r="H160" s="2" t="s">
        <v>293</v>
      </c>
      <c r="I160" s="2" t="s">
        <v>292</v>
      </c>
      <c r="J160" s="2" t="s">
        <v>291</v>
      </c>
      <c r="K160" s="2">
        <v>4909.57</v>
      </c>
      <c r="L160" s="2">
        <v>221.22</v>
      </c>
      <c r="M160" s="2">
        <v>442.44</v>
      </c>
      <c r="N160" s="2">
        <v>4771</v>
      </c>
      <c r="O160" s="2">
        <v>5673</v>
      </c>
      <c r="P160" s="2">
        <f t="shared" si="5"/>
        <v>10444</v>
      </c>
      <c r="Q160" s="2" t="s">
        <v>86</v>
      </c>
      <c r="R160" s="2">
        <v>2</v>
      </c>
      <c r="S160" s="2">
        <v>3</v>
      </c>
      <c r="T160" s="2">
        <v>2</v>
      </c>
      <c r="U160" s="2">
        <v>1</v>
      </c>
      <c r="V160" s="2">
        <v>0</v>
      </c>
      <c r="W160" s="2">
        <v>40</v>
      </c>
      <c r="X160" s="2">
        <v>11</v>
      </c>
      <c r="Y160" s="2">
        <v>3</v>
      </c>
      <c r="Z160" s="2">
        <v>6</v>
      </c>
      <c r="AA160" s="2">
        <v>5</v>
      </c>
      <c r="AB160" s="2">
        <v>0</v>
      </c>
      <c r="AC160" s="2">
        <v>4</v>
      </c>
      <c r="AD160" s="2">
        <v>3</v>
      </c>
      <c r="AE160" s="2">
        <v>53</v>
      </c>
      <c r="AF160" s="2">
        <v>53</v>
      </c>
      <c r="AG160" s="2" t="s">
        <v>290</v>
      </c>
      <c r="AH160" s="2">
        <v>0</v>
      </c>
      <c r="AI160" s="2">
        <v>4</v>
      </c>
      <c r="AJ160" s="2">
        <v>2</v>
      </c>
      <c r="AK160" s="2">
        <v>0</v>
      </c>
      <c r="AL160" s="2">
        <v>4</v>
      </c>
      <c r="AM160" s="2">
        <v>1</v>
      </c>
      <c r="AN160" s="2">
        <v>0</v>
      </c>
      <c r="AO160" s="2">
        <v>1</v>
      </c>
      <c r="AP160" s="2">
        <v>0</v>
      </c>
      <c r="AQ160" s="2">
        <v>1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3">
        <f>DATE(BE160, MATCH(TRIM(BD160), {"ENERO";"FEBRERO";"MARZO";"ABRIL";"MAYO";"JUNIO";"JULIO";"AGOSTO";"SEPTIEMBRE";"OCTUBRE";"NOVIEMBRE";"DICIEMBRE"}, 0), BC160)</f>
        <v>45275</v>
      </c>
      <c r="BC160" s="2">
        <v>15</v>
      </c>
      <c r="BD160" s="2" t="s">
        <v>2</v>
      </c>
      <c r="BE160" s="2">
        <v>2023</v>
      </c>
      <c r="BF160" s="2"/>
      <c r="BG160" s="2">
        <v>1</v>
      </c>
      <c r="BH160" s="2">
        <v>1</v>
      </c>
      <c r="BI160" s="2" t="s">
        <v>1</v>
      </c>
      <c r="BJ160" s="2" t="s">
        <v>0</v>
      </c>
      <c r="BK160" s="2"/>
      <c r="BL160" s="2"/>
    </row>
    <row r="161" spans="1:64" ht="18.75" x14ac:dyDescent="0.25">
      <c r="A161" s="2">
        <v>160</v>
      </c>
      <c r="B161" s="2" t="str">
        <f t="shared" si="4"/>
        <v>ADN-P-160</v>
      </c>
      <c r="C161" s="2" t="s">
        <v>19</v>
      </c>
      <c r="D161" s="2" t="s">
        <v>111</v>
      </c>
      <c r="E161" s="2" t="s">
        <v>289</v>
      </c>
      <c r="F161" s="2" t="s">
        <v>129</v>
      </c>
      <c r="G161" s="2" t="s">
        <v>288</v>
      </c>
      <c r="H161" s="2" t="s">
        <v>127</v>
      </c>
      <c r="I161" s="2" t="s">
        <v>126</v>
      </c>
      <c r="J161" s="2" t="s">
        <v>51</v>
      </c>
      <c r="K161" s="2">
        <v>47360.91</v>
      </c>
      <c r="L161" s="2">
        <v>499.03</v>
      </c>
      <c r="M161" s="2">
        <v>998.06</v>
      </c>
      <c r="N161" s="2">
        <v>3180</v>
      </c>
      <c r="O161" s="2">
        <v>3432</v>
      </c>
      <c r="P161" s="2">
        <f t="shared" si="5"/>
        <v>6612</v>
      </c>
      <c r="Q161" s="2" t="s">
        <v>86</v>
      </c>
      <c r="R161" s="2">
        <v>1</v>
      </c>
      <c r="S161" s="2">
        <v>0</v>
      </c>
      <c r="T161" s="2">
        <v>3</v>
      </c>
      <c r="U161" s="2">
        <v>0</v>
      </c>
      <c r="V161" s="2">
        <v>0</v>
      </c>
      <c r="W161" s="2">
        <v>18</v>
      </c>
      <c r="X161" s="2">
        <v>0</v>
      </c>
      <c r="Y161" s="2">
        <v>0</v>
      </c>
      <c r="Z161" s="2">
        <v>6</v>
      </c>
      <c r="AA161" s="2">
        <v>0</v>
      </c>
      <c r="AB161" s="2">
        <v>0</v>
      </c>
      <c r="AC161" s="2">
        <v>0</v>
      </c>
      <c r="AD161" s="2">
        <v>0</v>
      </c>
      <c r="AE161" s="2">
        <v>35</v>
      </c>
      <c r="AF161" s="2">
        <v>35</v>
      </c>
      <c r="AG161" s="2">
        <v>350</v>
      </c>
      <c r="AH161" s="2">
        <v>0</v>
      </c>
      <c r="AI161" s="2">
        <v>0</v>
      </c>
      <c r="AJ161" s="2">
        <v>0</v>
      </c>
      <c r="AK161" s="2">
        <v>2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3">
        <f>DATE(BE161, MATCH(TRIM(BD161), {"ENERO";"FEBRERO";"MARZO";"ABRIL";"MAYO";"JUNIO";"JULIO";"AGOSTO";"SEPTIEMBRE";"OCTUBRE";"NOVIEMBRE";"DICIEMBRE"}, 0), BC161)</f>
        <v>45281</v>
      </c>
      <c r="BC161" s="2">
        <v>21</v>
      </c>
      <c r="BD161" s="2" t="s">
        <v>2</v>
      </c>
      <c r="BE161" s="2">
        <v>2023</v>
      </c>
      <c r="BF161" s="2"/>
      <c r="BG161" s="2">
        <v>1</v>
      </c>
      <c r="BH161" s="2">
        <v>1</v>
      </c>
      <c r="BI161" s="2" t="s">
        <v>1</v>
      </c>
      <c r="BJ161" s="2" t="s">
        <v>0</v>
      </c>
      <c r="BK161" s="2"/>
      <c r="BL161" s="2"/>
    </row>
    <row r="162" spans="1:64" ht="18.75" x14ac:dyDescent="0.25">
      <c r="A162" s="2">
        <v>161</v>
      </c>
      <c r="B162" s="2" t="str">
        <f t="shared" si="4"/>
        <v>ADN-P-161</v>
      </c>
      <c r="C162" s="2" t="s">
        <v>19</v>
      </c>
      <c r="D162" s="2" t="s">
        <v>47</v>
      </c>
      <c r="E162" s="2" t="s">
        <v>287</v>
      </c>
      <c r="F162" s="2" t="s">
        <v>129</v>
      </c>
      <c r="G162" s="2" t="s">
        <v>286</v>
      </c>
      <c r="H162" s="2" t="s">
        <v>285</v>
      </c>
      <c r="I162" s="2" t="s">
        <v>284</v>
      </c>
      <c r="J162" s="2" t="s">
        <v>51</v>
      </c>
      <c r="K162" s="2">
        <v>27436.23</v>
      </c>
      <c r="L162" s="2">
        <v>251.43</v>
      </c>
      <c r="M162" s="2">
        <v>502.86</v>
      </c>
      <c r="N162" s="2">
        <v>3180</v>
      </c>
      <c r="O162" s="2">
        <v>3432</v>
      </c>
      <c r="P162" s="2">
        <f t="shared" si="5"/>
        <v>6612</v>
      </c>
      <c r="Q162" s="2" t="s">
        <v>86</v>
      </c>
      <c r="R162" s="2">
        <v>1</v>
      </c>
      <c r="S162" s="2">
        <v>1</v>
      </c>
      <c r="T162" s="2">
        <v>0</v>
      </c>
      <c r="U162" s="2">
        <v>39</v>
      </c>
      <c r="V162" s="2">
        <v>0</v>
      </c>
      <c r="W162" s="2">
        <v>39</v>
      </c>
      <c r="X162" s="2">
        <v>30</v>
      </c>
      <c r="Y162" s="2">
        <v>4</v>
      </c>
      <c r="Z162" s="2">
        <v>10</v>
      </c>
      <c r="AA162" s="2">
        <v>8</v>
      </c>
      <c r="AB162" s="2">
        <v>6</v>
      </c>
      <c r="AC162" s="2">
        <v>0</v>
      </c>
      <c r="AD162" s="2">
        <v>0</v>
      </c>
      <c r="AE162" s="2">
        <v>51</v>
      </c>
      <c r="AF162" s="2">
        <v>51</v>
      </c>
      <c r="AG162" s="2">
        <v>151</v>
      </c>
      <c r="AH162" s="2">
        <v>0</v>
      </c>
      <c r="AI162" s="2">
        <v>0</v>
      </c>
      <c r="AJ162" s="2">
        <v>0</v>
      </c>
      <c r="AK162" s="2">
        <v>0</v>
      </c>
      <c r="AL162" s="2">
        <v>1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3">
        <f>DATE(BE162, MATCH(TRIM(BD162), {"ENERO";"FEBRERO";"MARZO";"ABRIL";"MAYO";"JUNIO";"JULIO";"AGOSTO";"SEPTIEMBRE";"OCTUBRE";"NOVIEMBRE";"DICIEMBRE"}, 0), BC162)</f>
        <v>45281</v>
      </c>
      <c r="BC162" s="2">
        <v>21</v>
      </c>
      <c r="BD162" s="2" t="s">
        <v>2</v>
      </c>
      <c r="BE162" s="2">
        <v>2023</v>
      </c>
      <c r="BF162" s="2"/>
      <c r="BG162" s="2">
        <v>1</v>
      </c>
      <c r="BH162" s="2">
        <v>1</v>
      </c>
      <c r="BI162" s="2" t="s">
        <v>1</v>
      </c>
      <c r="BJ162" s="2" t="s">
        <v>0</v>
      </c>
      <c r="BK162" s="2"/>
      <c r="BL162" s="2"/>
    </row>
    <row r="163" spans="1:64" ht="18.75" x14ac:dyDescent="0.25">
      <c r="A163" s="2">
        <v>162</v>
      </c>
      <c r="B163" s="2" t="str">
        <f t="shared" si="4"/>
        <v>ADN-P-162</v>
      </c>
      <c r="C163" s="2" t="s">
        <v>9</v>
      </c>
      <c r="D163" s="2" t="s">
        <v>41</v>
      </c>
      <c r="E163" s="2" t="s">
        <v>283</v>
      </c>
      <c r="F163" s="2" t="s">
        <v>282</v>
      </c>
      <c r="G163" s="2" t="s">
        <v>281</v>
      </c>
      <c r="H163" s="2" t="s">
        <v>280</v>
      </c>
      <c r="I163" s="2" t="s">
        <v>279</v>
      </c>
      <c r="J163" s="2" t="s">
        <v>278</v>
      </c>
      <c r="K163" s="2">
        <v>4724.9799999999996</v>
      </c>
      <c r="L163" s="2">
        <v>271.39</v>
      </c>
      <c r="M163" s="2">
        <v>542.78</v>
      </c>
      <c r="N163" s="2">
        <v>26644</v>
      </c>
      <c r="O163" s="2">
        <v>27830</v>
      </c>
      <c r="P163" s="2">
        <f t="shared" si="5"/>
        <v>54474</v>
      </c>
      <c r="Q163" s="2" t="s">
        <v>86</v>
      </c>
      <c r="R163" s="2">
        <v>1</v>
      </c>
      <c r="S163" s="2">
        <v>3</v>
      </c>
      <c r="T163" s="2">
        <v>2</v>
      </c>
      <c r="U163" s="2">
        <v>0</v>
      </c>
      <c r="V163" s="2">
        <v>0</v>
      </c>
      <c r="W163" s="2">
        <v>33</v>
      </c>
      <c r="X163" s="2">
        <v>4</v>
      </c>
      <c r="Y163" s="2">
        <v>4</v>
      </c>
      <c r="Z163" s="2">
        <v>7</v>
      </c>
      <c r="AA163" s="2">
        <v>10</v>
      </c>
      <c r="AB163" s="2">
        <v>0</v>
      </c>
      <c r="AC163" s="2">
        <v>1</v>
      </c>
      <c r="AD163" s="2">
        <v>1</v>
      </c>
      <c r="AE163" s="2">
        <v>2</v>
      </c>
      <c r="AF163" s="2">
        <v>18</v>
      </c>
      <c r="AG163" s="2">
        <v>433.5</v>
      </c>
      <c r="AH163" s="2">
        <v>0</v>
      </c>
      <c r="AI163" s="2">
        <v>4</v>
      </c>
      <c r="AJ163" s="2">
        <v>7</v>
      </c>
      <c r="AK163" s="2">
        <v>0</v>
      </c>
      <c r="AL163" s="2">
        <v>3</v>
      </c>
      <c r="AM163" s="2">
        <v>1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1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3">
        <f>DATE(BE163, MATCH(TRIM(BD163), {"ENERO";"FEBRERO";"MARZO";"ABRIL";"MAYO";"JUNIO";"JULIO";"AGOSTO";"SEPTIEMBRE";"OCTUBRE";"NOVIEMBRE";"DICIEMBRE"}, 0), BC163)</f>
        <v>45282</v>
      </c>
      <c r="BC163" s="2">
        <v>22</v>
      </c>
      <c r="BD163" s="2" t="s">
        <v>2</v>
      </c>
      <c r="BE163" s="2">
        <v>2023</v>
      </c>
      <c r="BF163" s="2"/>
      <c r="BG163" s="2">
        <v>2</v>
      </c>
      <c r="BH163" s="2">
        <v>1</v>
      </c>
      <c r="BI163" s="2" t="s">
        <v>1</v>
      </c>
      <c r="BJ163" s="2" t="s">
        <v>0</v>
      </c>
      <c r="BK163" s="2"/>
      <c r="BL163" s="2"/>
    </row>
    <row r="164" spans="1:64" ht="18.75" x14ac:dyDescent="0.25">
      <c r="A164" s="2">
        <v>163</v>
      </c>
      <c r="B164" s="2" t="str">
        <f t="shared" si="4"/>
        <v>ADN-P-163</v>
      </c>
      <c r="C164" s="2" t="s">
        <v>19</v>
      </c>
      <c r="D164" s="2" t="s">
        <v>47</v>
      </c>
      <c r="E164" s="2" t="s">
        <v>277</v>
      </c>
      <c r="F164" s="2" t="s">
        <v>129</v>
      </c>
      <c r="G164" s="2" t="s">
        <v>276</v>
      </c>
      <c r="H164" s="2" t="s">
        <v>275</v>
      </c>
      <c r="I164" s="2" t="s">
        <v>274</v>
      </c>
      <c r="J164" s="2" t="s">
        <v>51</v>
      </c>
      <c r="K164" s="2">
        <v>35378.42</v>
      </c>
      <c r="L164" s="2">
        <v>834.05</v>
      </c>
      <c r="M164" s="2">
        <v>1668.1</v>
      </c>
      <c r="N164" s="2">
        <v>3180</v>
      </c>
      <c r="O164" s="2">
        <v>3432</v>
      </c>
      <c r="P164" s="2">
        <f t="shared" si="5"/>
        <v>6612</v>
      </c>
      <c r="Q164" s="2" t="s">
        <v>86</v>
      </c>
      <c r="R164" s="2">
        <v>2</v>
      </c>
      <c r="S164" s="2">
        <v>2</v>
      </c>
      <c r="T164" s="2">
        <v>1</v>
      </c>
      <c r="U164" s="2">
        <v>1</v>
      </c>
      <c r="V164" s="2">
        <v>0</v>
      </c>
      <c r="W164" s="2">
        <v>142</v>
      </c>
      <c r="X164" s="2">
        <v>51</v>
      </c>
      <c r="Y164" s="2">
        <v>0</v>
      </c>
      <c r="Z164" s="2">
        <v>6</v>
      </c>
      <c r="AA164" s="2">
        <v>5</v>
      </c>
      <c r="AB164" s="2">
        <v>0</v>
      </c>
      <c r="AC164" s="2">
        <v>1</v>
      </c>
      <c r="AD164" s="2">
        <v>16</v>
      </c>
      <c r="AE164" s="2">
        <v>57</v>
      </c>
      <c r="AF164" s="2">
        <v>0</v>
      </c>
      <c r="AG164" s="2" t="s">
        <v>273</v>
      </c>
      <c r="AH164" s="2">
        <v>0</v>
      </c>
      <c r="AI164" s="2">
        <v>0</v>
      </c>
      <c r="AJ164" s="2">
        <v>36</v>
      </c>
      <c r="AK164" s="2">
        <v>0</v>
      </c>
      <c r="AL164" s="2">
        <v>11</v>
      </c>
      <c r="AM164" s="2">
        <v>0</v>
      </c>
      <c r="AN164" s="2">
        <v>0</v>
      </c>
      <c r="AO164" s="2">
        <v>0</v>
      </c>
      <c r="AP164" s="2">
        <v>0</v>
      </c>
      <c r="AQ164" s="2">
        <v>2</v>
      </c>
      <c r="AR164" s="2">
        <v>0</v>
      </c>
      <c r="AS164" s="2">
        <v>2</v>
      </c>
      <c r="AT164" s="2">
        <v>5</v>
      </c>
      <c r="AU164" s="2">
        <v>0</v>
      </c>
      <c r="AV164" s="2">
        <v>0</v>
      </c>
      <c r="AW164" s="2">
        <v>0</v>
      </c>
      <c r="AX164" s="2">
        <v>1</v>
      </c>
      <c r="AY164" s="2">
        <v>0</v>
      </c>
      <c r="AZ164" s="2">
        <v>0</v>
      </c>
      <c r="BA164" s="2">
        <v>0</v>
      </c>
      <c r="BB164" s="3">
        <f>DATE(BE164, MATCH(TRIM(BD164), {"ENERO";"FEBRERO";"MARZO";"ABRIL";"MAYO";"JUNIO";"JULIO";"AGOSTO";"SEPTIEMBRE";"OCTUBRE";"NOVIEMBRE";"DICIEMBRE"}, 0), BC164)</f>
        <v>45281</v>
      </c>
      <c r="BC164" s="2">
        <v>21</v>
      </c>
      <c r="BD164" s="2" t="s">
        <v>2</v>
      </c>
      <c r="BE164" s="2">
        <v>2023</v>
      </c>
      <c r="BF164" s="2"/>
      <c r="BG164" s="2">
        <v>1</v>
      </c>
      <c r="BH164" s="2">
        <v>1</v>
      </c>
      <c r="BI164" s="2" t="s">
        <v>1</v>
      </c>
      <c r="BJ164" s="2" t="s">
        <v>0</v>
      </c>
      <c r="BK164" s="2"/>
      <c r="BL164" s="2"/>
    </row>
    <row r="165" spans="1:64" ht="18.75" x14ac:dyDescent="0.25">
      <c r="A165" s="2">
        <v>164</v>
      </c>
      <c r="B165" s="2" t="str">
        <f t="shared" si="4"/>
        <v>ADN-P-164</v>
      </c>
      <c r="C165" s="2" t="s">
        <v>19</v>
      </c>
      <c r="D165" s="2" t="s">
        <v>111</v>
      </c>
      <c r="E165" s="2" t="s">
        <v>272</v>
      </c>
      <c r="F165" s="2" t="s">
        <v>271</v>
      </c>
      <c r="G165" s="2" t="s">
        <v>270</v>
      </c>
      <c r="H165" s="2" t="s">
        <v>269</v>
      </c>
      <c r="I165" s="2" t="s">
        <v>268</v>
      </c>
      <c r="J165" s="2" t="s">
        <v>267</v>
      </c>
      <c r="K165" s="2">
        <v>150</v>
      </c>
      <c r="L165" s="2">
        <v>23.43</v>
      </c>
      <c r="M165" s="2">
        <v>46.86</v>
      </c>
      <c r="N165" s="2">
        <v>3663</v>
      </c>
      <c r="O165" s="2">
        <v>4458</v>
      </c>
      <c r="P165" s="2">
        <f t="shared" si="5"/>
        <v>8121</v>
      </c>
      <c r="Q165" s="2" t="s">
        <v>58</v>
      </c>
      <c r="R165" s="2">
        <v>0</v>
      </c>
      <c r="S165" s="2">
        <v>0</v>
      </c>
      <c r="T165" s="2">
        <v>2</v>
      </c>
      <c r="U165" s="2">
        <v>0</v>
      </c>
      <c r="V165" s="2">
        <v>0</v>
      </c>
      <c r="W165" s="2">
        <v>4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1</v>
      </c>
      <c r="AI165" s="2">
        <v>0</v>
      </c>
      <c r="AJ165" s="2">
        <v>2</v>
      </c>
      <c r="AK165" s="2">
        <v>1</v>
      </c>
      <c r="AL165" s="2">
        <v>3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3">
        <f>DATE(BE165, MATCH(TRIM(BD165), {"ENERO";"FEBRERO";"MARZO";"ABRIL";"MAYO";"JUNIO";"JULIO";"AGOSTO";"SEPTIEMBRE";"OCTUBRE";"NOVIEMBRE";"DICIEMBRE"}, 0), BC165)</f>
        <v>45301</v>
      </c>
      <c r="BC165" s="2">
        <v>10</v>
      </c>
      <c r="BD165" s="2" t="s">
        <v>144</v>
      </c>
      <c r="BE165" s="2">
        <v>2024</v>
      </c>
      <c r="BF165" s="2"/>
      <c r="BG165" s="2">
        <v>1</v>
      </c>
      <c r="BH165" s="2">
        <v>2</v>
      </c>
      <c r="BI165" s="2" t="s">
        <v>1</v>
      </c>
      <c r="BJ165" s="2" t="s">
        <v>0</v>
      </c>
      <c r="BK165" s="2"/>
      <c r="BL165" s="2"/>
    </row>
    <row r="166" spans="1:64" ht="18.75" x14ac:dyDescent="0.25">
      <c r="A166" s="2">
        <v>165</v>
      </c>
      <c r="B166" s="2" t="str">
        <f t="shared" si="4"/>
        <v>ADN-P-165</v>
      </c>
      <c r="C166" s="2" t="s">
        <v>19</v>
      </c>
      <c r="D166" s="2" t="s">
        <v>47</v>
      </c>
      <c r="E166" s="2" t="s">
        <v>266</v>
      </c>
      <c r="F166" s="2" t="s">
        <v>265</v>
      </c>
      <c r="G166" s="2" t="s">
        <v>264</v>
      </c>
      <c r="H166" s="2" t="s">
        <v>263</v>
      </c>
      <c r="I166" s="2" t="s">
        <v>262</v>
      </c>
      <c r="J166" s="2" t="s">
        <v>261</v>
      </c>
      <c r="K166" s="2">
        <v>789.46</v>
      </c>
      <c r="L166" s="2">
        <v>115.73</v>
      </c>
      <c r="M166" s="2">
        <v>231.46</v>
      </c>
      <c r="N166" s="2">
        <v>5014</v>
      </c>
      <c r="O166" s="2">
        <v>5612</v>
      </c>
      <c r="P166" s="2">
        <f t="shared" si="5"/>
        <v>10626</v>
      </c>
      <c r="Q166" s="2" t="s">
        <v>86</v>
      </c>
      <c r="R166" s="2">
        <v>1</v>
      </c>
      <c r="S166" s="2">
        <v>6</v>
      </c>
      <c r="T166" s="2">
        <v>3</v>
      </c>
      <c r="U166" s="2">
        <v>1</v>
      </c>
      <c r="V166" s="2">
        <v>0</v>
      </c>
      <c r="W166" s="2">
        <v>38</v>
      </c>
      <c r="X166" s="2">
        <v>9</v>
      </c>
      <c r="Y166" s="2">
        <v>2</v>
      </c>
      <c r="Z166" s="2">
        <v>2</v>
      </c>
      <c r="AA166" s="2">
        <v>8</v>
      </c>
      <c r="AB166" s="2">
        <v>2</v>
      </c>
      <c r="AC166" s="2">
        <v>0</v>
      </c>
      <c r="AD166" s="2">
        <v>2</v>
      </c>
      <c r="AE166" s="2">
        <v>27</v>
      </c>
      <c r="AF166" s="2">
        <v>27</v>
      </c>
      <c r="AG166" s="2">
        <v>325.5</v>
      </c>
      <c r="AH166" s="2">
        <v>0</v>
      </c>
      <c r="AI166" s="2">
        <v>0</v>
      </c>
      <c r="AJ166" s="2">
        <v>0</v>
      </c>
      <c r="AK166" s="2">
        <v>0</v>
      </c>
      <c r="AL166" s="2">
        <v>2</v>
      </c>
      <c r="AM166" s="2">
        <v>0</v>
      </c>
      <c r="AN166" s="2">
        <v>0</v>
      </c>
      <c r="AO166" s="2">
        <v>1</v>
      </c>
      <c r="AP166" s="2">
        <v>0</v>
      </c>
      <c r="AQ166" s="2">
        <v>2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3">
        <f>DATE(BE166, MATCH(TRIM(BD166), {"ENERO";"FEBRERO";"MARZO";"ABRIL";"MAYO";"JUNIO";"JULIO";"AGOSTO";"SEPTIEMBRE";"OCTUBRE";"NOVIEMBRE";"DICIEMBRE"}, 0), BC166)</f>
        <v>45308</v>
      </c>
      <c r="BC166" s="2">
        <v>17</v>
      </c>
      <c r="BD166" s="2" t="s">
        <v>144</v>
      </c>
      <c r="BE166" s="2">
        <v>2024</v>
      </c>
      <c r="BF166" s="2"/>
      <c r="BG166" s="2">
        <v>1</v>
      </c>
      <c r="BH166" s="2">
        <v>1</v>
      </c>
      <c r="BI166" s="2" t="s">
        <v>1</v>
      </c>
      <c r="BJ166" s="2" t="s">
        <v>0</v>
      </c>
      <c r="BK166" s="2"/>
      <c r="BL166" s="2"/>
    </row>
    <row r="167" spans="1:64" ht="18.75" x14ac:dyDescent="0.25">
      <c r="A167" s="2">
        <v>166</v>
      </c>
      <c r="B167" s="2" t="str">
        <f t="shared" si="4"/>
        <v>ADN-P-166</v>
      </c>
      <c r="C167" s="2" t="s">
        <v>19</v>
      </c>
      <c r="D167" s="2" t="s">
        <v>25</v>
      </c>
      <c r="E167" s="2" t="s">
        <v>260</v>
      </c>
      <c r="F167" s="2" t="s">
        <v>257</v>
      </c>
      <c r="G167" s="2" t="s">
        <v>256</v>
      </c>
      <c r="H167" s="2" t="s">
        <v>255</v>
      </c>
      <c r="I167" s="2" t="s">
        <v>254</v>
      </c>
      <c r="J167" s="2" t="s">
        <v>253</v>
      </c>
      <c r="K167" s="2">
        <v>2483.67</v>
      </c>
      <c r="L167" s="2">
        <v>60.55</v>
      </c>
      <c r="M167" s="2">
        <v>121.1</v>
      </c>
      <c r="N167" s="2">
        <v>3074</v>
      </c>
      <c r="O167" s="2">
        <v>3471</v>
      </c>
      <c r="P167" s="2">
        <f t="shared" si="5"/>
        <v>6545</v>
      </c>
      <c r="Q167" s="2" t="s">
        <v>86</v>
      </c>
      <c r="R167" s="2">
        <v>1</v>
      </c>
      <c r="S167" s="2">
        <v>3</v>
      </c>
      <c r="T167" s="2">
        <v>0</v>
      </c>
      <c r="U167" s="2">
        <v>1</v>
      </c>
      <c r="V167" s="2">
        <v>0</v>
      </c>
      <c r="W167" s="2">
        <v>15</v>
      </c>
      <c r="X167" s="2">
        <v>5</v>
      </c>
      <c r="Y167" s="2">
        <v>1</v>
      </c>
      <c r="Z167" s="2">
        <v>2</v>
      </c>
      <c r="AA167" s="2">
        <v>6</v>
      </c>
      <c r="AB167" s="2">
        <v>0</v>
      </c>
      <c r="AC167" s="2">
        <v>0</v>
      </c>
      <c r="AD167" s="2">
        <v>0</v>
      </c>
      <c r="AE167" s="2">
        <v>20</v>
      </c>
      <c r="AF167" s="2">
        <v>20</v>
      </c>
      <c r="AG167" s="2" t="s">
        <v>259</v>
      </c>
      <c r="AH167" s="2">
        <v>0</v>
      </c>
      <c r="AI167" s="2">
        <v>6</v>
      </c>
      <c r="AJ167" s="2">
        <v>0</v>
      </c>
      <c r="AK167" s="2">
        <v>0</v>
      </c>
      <c r="AL167" s="2">
        <v>1</v>
      </c>
      <c r="AM167" s="2">
        <v>1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3">
        <f>DATE(BE167, MATCH(TRIM(BD167), {"ENERO";"FEBRERO";"MARZO";"ABRIL";"MAYO";"JUNIO";"JULIO";"AGOSTO";"SEPTIEMBRE";"OCTUBRE";"NOVIEMBRE";"DICIEMBRE"}, 0), BC167)</f>
        <v>45358</v>
      </c>
      <c r="BC167" s="2">
        <v>7</v>
      </c>
      <c r="BD167" s="2" t="s">
        <v>104</v>
      </c>
      <c r="BE167" s="2">
        <v>2024</v>
      </c>
      <c r="BF167" s="2"/>
      <c r="BG167" s="2">
        <v>1</v>
      </c>
      <c r="BH167" s="2">
        <v>1</v>
      </c>
      <c r="BI167" s="2" t="s">
        <v>1</v>
      </c>
      <c r="BJ167" s="2" t="s">
        <v>0</v>
      </c>
      <c r="BK167" s="2"/>
      <c r="BL167" s="2"/>
    </row>
    <row r="168" spans="1:64" ht="18.75" x14ac:dyDescent="0.25">
      <c r="A168" s="2">
        <v>167</v>
      </c>
      <c r="B168" s="2" t="str">
        <f t="shared" si="4"/>
        <v>ADN-P-167</v>
      </c>
      <c r="C168" s="2" t="s">
        <v>19</v>
      </c>
      <c r="D168" s="2" t="s">
        <v>47</v>
      </c>
      <c r="E168" s="2" t="s">
        <v>258</v>
      </c>
      <c r="F168" s="2" t="s">
        <v>257</v>
      </c>
      <c r="G168" s="2" t="s">
        <v>256</v>
      </c>
      <c r="H168" s="2" t="s">
        <v>255</v>
      </c>
      <c r="I168" s="2" t="s">
        <v>254</v>
      </c>
      <c r="J168" s="2" t="s">
        <v>253</v>
      </c>
      <c r="K168" s="2">
        <v>1283.24</v>
      </c>
      <c r="L168" s="2">
        <v>166.79</v>
      </c>
      <c r="M168" s="2">
        <v>333.58</v>
      </c>
      <c r="N168" s="2">
        <v>3074</v>
      </c>
      <c r="O168" s="2">
        <v>3471</v>
      </c>
      <c r="P168" s="2">
        <f t="shared" si="5"/>
        <v>6545</v>
      </c>
      <c r="Q168" s="2" t="s">
        <v>58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12</v>
      </c>
      <c r="X168" s="2">
        <v>23</v>
      </c>
      <c r="Y168" s="2">
        <v>0</v>
      </c>
      <c r="Z168" s="2">
        <v>2</v>
      </c>
      <c r="AA168" s="2">
        <v>0</v>
      </c>
      <c r="AB168" s="2">
        <v>2</v>
      </c>
      <c r="AC168" s="2">
        <v>0</v>
      </c>
      <c r="AD168" s="2">
        <v>0</v>
      </c>
      <c r="AE168" s="2">
        <v>30</v>
      </c>
      <c r="AF168" s="2">
        <v>30</v>
      </c>
      <c r="AG168" s="2" t="s">
        <v>252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3">
        <f>DATE(BE168, MATCH(TRIM(BD168), {"ENERO";"FEBRERO";"MARZO";"ABRIL";"MAYO";"JUNIO";"JULIO";"AGOSTO";"SEPTIEMBRE";"OCTUBRE";"NOVIEMBRE";"DICIEMBRE"}, 0), BC168)</f>
        <v>45358</v>
      </c>
      <c r="BC168" s="2">
        <v>7</v>
      </c>
      <c r="BD168" s="2" t="s">
        <v>104</v>
      </c>
      <c r="BE168" s="2">
        <v>2024</v>
      </c>
      <c r="BF168" s="2"/>
      <c r="BG168" s="2">
        <v>1</v>
      </c>
      <c r="BH168" s="2">
        <v>1</v>
      </c>
      <c r="BI168" s="2" t="s">
        <v>1</v>
      </c>
      <c r="BJ168" s="2" t="s">
        <v>0</v>
      </c>
      <c r="BK168" s="2"/>
      <c r="BL168" s="2"/>
    </row>
    <row r="169" spans="1:64" ht="18.75" x14ac:dyDescent="0.25">
      <c r="A169" s="2">
        <v>168</v>
      </c>
      <c r="B169" s="2" t="str">
        <f t="shared" si="4"/>
        <v>ADN-P-168</v>
      </c>
      <c r="C169" s="2" t="s">
        <v>9</v>
      </c>
      <c r="D169" s="2" t="s">
        <v>251</v>
      </c>
      <c r="E169" s="2" t="s">
        <v>250</v>
      </c>
      <c r="F169" s="2" t="s">
        <v>249</v>
      </c>
      <c r="G169" s="2" t="s">
        <v>248</v>
      </c>
      <c r="H169" s="2" t="s">
        <v>247</v>
      </c>
      <c r="I169" s="2" t="s">
        <v>246</v>
      </c>
      <c r="J169" s="2" t="s">
        <v>245</v>
      </c>
      <c r="K169" s="2">
        <v>2606.31</v>
      </c>
      <c r="L169" s="2">
        <v>227.55</v>
      </c>
      <c r="M169" s="2">
        <v>455.1</v>
      </c>
      <c r="N169" s="2">
        <v>1964</v>
      </c>
      <c r="O169" s="2">
        <v>2426</v>
      </c>
      <c r="P169" s="2">
        <f t="shared" si="5"/>
        <v>4390</v>
      </c>
      <c r="Q169" s="2" t="s">
        <v>86</v>
      </c>
      <c r="R169" s="2">
        <v>1</v>
      </c>
      <c r="S169" s="2">
        <v>1</v>
      </c>
      <c r="T169" s="2">
        <v>1</v>
      </c>
      <c r="U169" s="2">
        <v>1</v>
      </c>
      <c r="V169" s="2">
        <v>0</v>
      </c>
      <c r="W169" s="2">
        <v>13</v>
      </c>
      <c r="X169" s="2">
        <v>3</v>
      </c>
      <c r="Y169" s="2">
        <v>3</v>
      </c>
      <c r="Z169" s="2">
        <v>3</v>
      </c>
      <c r="AA169" s="2">
        <v>4</v>
      </c>
      <c r="AB169" s="2">
        <v>3</v>
      </c>
      <c r="AC169" s="2">
        <v>1</v>
      </c>
      <c r="AD169" s="2">
        <v>1</v>
      </c>
      <c r="AE169" s="2">
        <v>32</v>
      </c>
      <c r="AF169" s="2">
        <v>32</v>
      </c>
      <c r="AG169" s="2">
        <v>200</v>
      </c>
      <c r="AH169" s="2">
        <v>0</v>
      </c>
      <c r="AI169" s="2">
        <v>0</v>
      </c>
      <c r="AJ169" s="2">
        <v>1</v>
      </c>
      <c r="AK169" s="2">
        <v>0</v>
      </c>
      <c r="AL169" s="2">
        <v>0</v>
      </c>
      <c r="AM169" s="2">
        <v>1</v>
      </c>
      <c r="AN169" s="2">
        <v>0</v>
      </c>
      <c r="AO169" s="2">
        <v>0</v>
      </c>
      <c r="AP169" s="2">
        <v>0</v>
      </c>
      <c r="AQ169" s="2">
        <v>1</v>
      </c>
      <c r="AR169" s="2">
        <v>0</v>
      </c>
      <c r="AS169" s="2">
        <v>1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3">
        <f>DATE(BE169, MATCH(TRIM(BD169), {"ENERO";"FEBRERO";"MARZO";"ABRIL";"MAYO";"JUNIO";"JULIO";"AGOSTO";"SEPTIEMBRE";"OCTUBRE";"NOVIEMBRE";"DICIEMBRE"}, 0), BC169)</f>
        <v>45371</v>
      </c>
      <c r="BC169" s="2">
        <v>20</v>
      </c>
      <c r="BD169" s="2" t="s">
        <v>104</v>
      </c>
      <c r="BE169" s="2">
        <v>2024</v>
      </c>
      <c r="BF169" s="2"/>
      <c r="BG169" s="2">
        <v>2</v>
      </c>
      <c r="BH169" s="2">
        <v>1</v>
      </c>
      <c r="BI169" s="2" t="s">
        <v>1</v>
      </c>
      <c r="BJ169" s="2" t="s">
        <v>0</v>
      </c>
      <c r="BK169" s="2"/>
      <c r="BL169" s="2"/>
    </row>
    <row r="170" spans="1:64" ht="18.75" x14ac:dyDescent="0.25">
      <c r="A170" s="2">
        <v>169</v>
      </c>
      <c r="B170" s="2" t="str">
        <f t="shared" si="4"/>
        <v>ADN-P-169</v>
      </c>
      <c r="C170" s="2" t="s">
        <v>19</v>
      </c>
      <c r="D170" s="2" t="s">
        <v>47</v>
      </c>
      <c r="E170" s="2" t="s">
        <v>244</v>
      </c>
      <c r="F170" s="2" t="s">
        <v>243</v>
      </c>
      <c r="G170" s="2" t="s">
        <v>242</v>
      </c>
      <c r="H170" s="2" t="s">
        <v>241</v>
      </c>
      <c r="I170" s="2" t="s">
        <v>240</v>
      </c>
      <c r="J170" s="2" t="s">
        <v>239</v>
      </c>
      <c r="K170" s="2">
        <v>1114.3599999999999</v>
      </c>
      <c r="L170" s="2">
        <v>9.08</v>
      </c>
      <c r="M170" s="2">
        <v>18.16</v>
      </c>
      <c r="N170" s="2">
        <v>3275</v>
      </c>
      <c r="O170" s="2">
        <v>3832</v>
      </c>
      <c r="P170" s="2">
        <f t="shared" si="5"/>
        <v>7107</v>
      </c>
      <c r="Q170" s="2" t="s">
        <v>86</v>
      </c>
      <c r="R170" s="2">
        <v>1</v>
      </c>
      <c r="S170" s="2">
        <v>4</v>
      </c>
      <c r="T170" s="2">
        <v>1</v>
      </c>
      <c r="U170" s="2">
        <v>1</v>
      </c>
      <c r="V170" s="2">
        <v>0</v>
      </c>
      <c r="W170" s="2">
        <v>33</v>
      </c>
      <c r="X170" s="2">
        <v>6</v>
      </c>
      <c r="Y170" s="2">
        <v>0</v>
      </c>
      <c r="Z170" s="2">
        <v>3</v>
      </c>
      <c r="AA170" s="2">
        <v>3</v>
      </c>
      <c r="AB170" s="2">
        <v>2</v>
      </c>
      <c r="AC170" s="2">
        <v>2</v>
      </c>
      <c r="AD170" s="2">
        <v>0</v>
      </c>
      <c r="AE170" s="2">
        <v>17</v>
      </c>
      <c r="AF170" s="2">
        <v>17</v>
      </c>
      <c r="AG170" s="2" t="s">
        <v>238</v>
      </c>
      <c r="AH170" s="2">
        <v>0</v>
      </c>
      <c r="AI170" s="2">
        <v>0</v>
      </c>
      <c r="AJ170" s="2">
        <v>0</v>
      </c>
      <c r="AK170" s="2">
        <v>0</v>
      </c>
      <c r="AL170" s="2">
        <v>1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3">
        <f>DATE(BE170, MATCH(TRIM(BD170), {"ENERO";"FEBRERO";"MARZO";"ABRIL";"MAYO";"JUNIO";"JULIO";"AGOSTO";"SEPTIEMBRE";"OCTUBRE";"NOVIEMBRE";"DICIEMBRE"}, 0), BC170)</f>
        <v>45419</v>
      </c>
      <c r="BC170" s="2">
        <v>7</v>
      </c>
      <c r="BD170" s="2" t="s">
        <v>79</v>
      </c>
      <c r="BE170" s="2">
        <v>2024</v>
      </c>
      <c r="BF170" s="2"/>
      <c r="BG170" s="2">
        <v>1</v>
      </c>
      <c r="BH170" s="2">
        <v>1</v>
      </c>
      <c r="BI170" s="2" t="s">
        <v>1</v>
      </c>
      <c r="BJ170" s="2" t="s">
        <v>0</v>
      </c>
      <c r="BK170" s="2"/>
      <c r="BL170" s="2"/>
    </row>
    <row r="171" spans="1:64" ht="18.75" x14ac:dyDescent="0.25">
      <c r="A171" s="2">
        <v>170</v>
      </c>
      <c r="B171" s="2" t="str">
        <f t="shared" si="4"/>
        <v>ADN-P-170</v>
      </c>
      <c r="C171" s="2" t="s">
        <v>19</v>
      </c>
      <c r="D171" s="2" t="s">
        <v>47</v>
      </c>
      <c r="E171" s="2" t="s">
        <v>237</v>
      </c>
      <c r="F171" s="2" t="s">
        <v>236</v>
      </c>
      <c r="G171" s="2" t="s">
        <v>235</v>
      </c>
      <c r="H171" s="2" t="s">
        <v>234</v>
      </c>
      <c r="I171" s="2" t="s">
        <v>233</v>
      </c>
      <c r="J171" s="2" t="s">
        <v>232</v>
      </c>
      <c r="K171" s="2">
        <v>380.13</v>
      </c>
      <c r="L171" s="2">
        <v>83.24</v>
      </c>
      <c r="M171" s="2">
        <v>166.48</v>
      </c>
      <c r="N171" s="2">
        <v>3275</v>
      </c>
      <c r="O171" s="2">
        <v>3832</v>
      </c>
      <c r="P171" s="2">
        <f t="shared" si="5"/>
        <v>7107</v>
      </c>
      <c r="Q171" s="2" t="s">
        <v>86</v>
      </c>
      <c r="R171" s="2">
        <v>1</v>
      </c>
      <c r="S171" s="2">
        <v>3</v>
      </c>
      <c r="T171" s="2">
        <v>2</v>
      </c>
      <c r="U171" s="2">
        <v>0</v>
      </c>
      <c r="V171" s="2">
        <v>0</v>
      </c>
      <c r="W171" s="2">
        <v>4</v>
      </c>
      <c r="X171" s="2">
        <v>5</v>
      </c>
      <c r="Y171" s="2">
        <v>0</v>
      </c>
      <c r="Z171" s="2">
        <v>1</v>
      </c>
      <c r="AA171" s="2">
        <v>5</v>
      </c>
      <c r="AB171" s="2">
        <v>0</v>
      </c>
      <c r="AC171" s="2">
        <v>0</v>
      </c>
      <c r="AD171" s="2">
        <v>0</v>
      </c>
      <c r="AE171" s="2">
        <v>12</v>
      </c>
      <c r="AF171" s="2">
        <v>12</v>
      </c>
      <c r="AG171" s="2">
        <v>133.6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3">
        <f>DATE(BE171, MATCH(TRIM(BD171), {"ENERO";"FEBRERO";"MARZO";"ABRIL";"MAYO";"JUNIO";"JULIO";"AGOSTO";"SEPTIEMBRE";"OCTUBRE";"NOVIEMBRE";"DICIEMBRE"}, 0), BC171)</f>
        <v>45443</v>
      </c>
      <c r="BC171" s="2">
        <v>31</v>
      </c>
      <c r="BD171" s="2" t="s">
        <v>79</v>
      </c>
      <c r="BE171" s="2">
        <v>2024</v>
      </c>
      <c r="BF171" s="2"/>
      <c r="BG171" s="2">
        <v>1</v>
      </c>
      <c r="BH171" s="2">
        <v>1</v>
      </c>
      <c r="BI171" s="2" t="s">
        <v>1</v>
      </c>
      <c r="BJ171" s="2" t="s">
        <v>0</v>
      </c>
      <c r="BK171" s="2"/>
      <c r="BL171" s="2"/>
    </row>
    <row r="172" spans="1:64" ht="18.75" x14ac:dyDescent="0.25">
      <c r="A172" s="2">
        <v>171</v>
      </c>
      <c r="B172" s="2" t="str">
        <f t="shared" si="4"/>
        <v>ADN-P-171</v>
      </c>
      <c r="C172" s="2" t="s">
        <v>19</v>
      </c>
      <c r="D172" s="2" t="s">
        <v>47</v>
      </c>
      <c r="E172" s="2" t="s">
        <v>231</v>
      </c>
      <c r="F172" s="2" t="s">
        <v>129</v>
      </c>
      <c r="G172" s="2" t="s">
        <v>230</v>
      </c>
      <c r="H172" s="2" t="s">
        <v>229</v>
      </c>
      <c r="I172" s="2" t="s">
        <v>228</v>
      </c>
      <c r="J172" s="2" t="s">
        <v>125</v>
      </c>
      <c r="K172" s="2">
        <v>1862.13</v>
      </c>
      <c r="L172" s="2">
        <v>58.19</v>
      </c>
      <c r="M172" s="2">
        <v>116.38</v>
      </c>
      <c r="N172" s="2">
        <v>30</v>
      </c>
      <c r="O172" s="2">
        <v>35</v>
      </c>
      <c r="P172" s="2">
        <f t="shared" si="5"/>
        <v>65</v>
      </c>
      <c r="Q172" s="2" t="s">
        <v>192</v>
      </c>
      <c r="R172" s="2">
        <v>1</v>
      </c>
      <c r="S172" s="2">
        <v>0</v>
      </c>
      <c r="T172" s="2">
        <v>1</v>
      </c>
      <c r="U172" s="2">
        <v>0</v>
      </c>
      <c r="V172" s="2">
        <v>0</v>
      </c>
      <c r="W172" s="2">
        <v>12</v>
      </c>
      <c r="X172" s="2">
        <v>18</v>
      </c>
      <c r="Y172" s="2">
        <v>0</v>
      </c>
      <c r="Z172" s="2">
        <v>4</v>
      </c>
      <c r="AA172" s="2">
        <v>0</v>
      </c>
      <c r="AB172" s="2">
        <v>2</v>
      </c>
      <c r="AC172" s="2">
        <v>0</v>
      </c>
      <c r="AD172" s="2">
        <v>0</v>
      </c>
      <c r="AE172" s="2">
        <v>27</v>
      </c>
      <c r="AF172" s="2">
        <v>27</v>
      </c>
      <c r="AG172" s="2" t="s">
        <v>227</v>
      </c>
      <c r="AH172" s="2">
        <v>2</v>
      </c>
      <c r="AI172" s="2">
        <v>0</v>
      </c>
      <c r="AJ172" s="2">
        <v>2</v>
      </c>
      <c r="AK172" s="2">
        <v>1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3">
        <f>DATE(BE172, MATCH(TRIM(BD172), {"ENERO";"FEBRERO";"MARZO";"ABRIL";"MAYO";"JUNIO";"JULIO";"AGOSTO";"SEPTIEMBRE";"OCTUBRE";"NOVIEMBRE";"DICIEMBRE"}, 0), BC172)</f>
        <v>45457</v>
      </c>
      <c r="BC172" s="2">
        <v>14</v>
      </c>
      <c r="BD172" s="2" t="s">
        <v>71</v>
      </c>
      <c r="BE172" s="2">
        <v>2024</v>
      </c>
      <c r="BF172" s="2"/>
      <c r="BG172" s="2">
        <v>1</v>
      </c>
      <c r="BH172" s="2">
        <v>1</v>
      </c>
      <c r="BI172" s="2" t="s">
        <v>1</v>
      </c>
      <c r="BJ172" s="2" t="s">
        <v>0</v>
      </c>
      <c r="BK172" s="2"/>
      <c r="BL172" s="2"/>
    </row>
    <row r="173" spans="1:64" ht="18.75" x14ac:dyDescent="0.25">
      <c r="A173" s="2">
        <v>172</v>
      </c>
      <c r="B173" s="2" t="str">
        <f t="shared" si="4"/>
        <v>ADN-P-172</v>
      </c>
      <c r="C173" s="2" t="s">
        <v>9</v>
      </c>
      <c r="D173" s="2" t="s">
        <v>32</v>
      </c>
      <c r="E173" s="2" t="s">
        <v>226</v>
      </c>
      <c r="F173" s="2" t="s">
        <v>225</v>
      </c>
      <c r="G173" s="2" t="s">
        <v>224</v>
      </c>
      <c r="H173" s="2" t="s">
        <v>223</v>
      </c>
      <c r="I173" s="2" t="s">
        <v>222</v>
      </c>
      <c r="J173" s="2" t="s">
        <v>204</v>
      </c>
      <c r="K173" s="2">
        <v>1063.18</v>
      </c>
      <c r="L173" s="2">
        <v>140.07</v>
      </c>
      <c r="M173" s="2">
        <v>280.14</v>
      </c>
      <c r="N173" s="2">
        <v>24591</v>
      </c>
      <c r="O173" s="2">
        <v>26673</v>
      </c>
      <c r="P173" s="2">
        <f t="shared" si="5"/>
        <v>51264</v>
      </c>
      <c r="Q173" s="2" t="s">
        <v>86</v>
      </c>
      <c r="R173" s="2">
        <v>1</v>
      </c>
      <c r="S173" s="2">
        <v>2</v>
      </c>
      <c r="T173" s="2">
        <v>2</v>
      </c>
      <c r="U173" s="2">
        <v>0</v>
      </c>
      <c r="V173" s="2">
        <v>0</v>
      </c>
      <c r="W173" s="2">
        <v>14</v>
      </c>
      <c r="X173" s="2">
        <v>6</v>
      </c>
      <c r="Y173" s="2">
        <v>0</v>
      </c>
      <c r="Z173" s="2">
        <v>1</v>
      </c>
      <c r="AA173" s="2">
        <v>3</v>
      </c>
      <c r="AB173" s="2">
        <v>2</v>
      </c>
      <c r="AC173" s="2">
        <v>1</v>
      </c>
      <c r="AD173" s="2">
        <v>0</v>
      </c>
      <c r="AE173" s="2">
        <v>10</v>
      </c>
      <c r="AF173" s="2">
        <v>63</v>
      </c>
      <c r="AG173" s="2">
        <v>48</v>
      </c>
      <c r="AH173" s="2">
        <v>0</v>
      </c>
      <c r="AI173" s="2">
        <v>0</v>
      </c>
      <c r="AJ173" s="2">
        <v>2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3">
        <f>DATE(BE173, MATCH(TRIM(BD173), {"ENERO";"FEBRERO";"MARZO";"ABRIL";"MAYO";"JUNIO";"JULIO";"AGOSTO";"SEPTIEMBRE";"OCTUBRE";"NOVIEMBRE";"DICIEMBRE"}, 0), BC173)</f>
        <v>45472</v>
      </c>
      <c r="BC173" s="2">
        <v>29</v>
      </c>
      <c r="BD173" s="2" t="s">
        <v>71</v>
      </c>
      <c r="BE173" s="2">
        <v>2024</v>
      </c>
      <c r="BF173" s="2"/>
      <c r="BG173" s="2">
        <v>2</v>
      </c>
      <c r="BH173" s="2">
        <v>1</v>
      </c>
      <c r="BI173" s="2" t="s">
        <v>1</v>
      </c>
      <c r="BJ173" s="2" t="s">
        <v>0</v>
      </c>
      <c r="BK173" s="2"/>
      <c r="BL173" s="2"/>
    </row>
    <row r="174" spans="1:64" ht="18.75" x14ac:dyDescent="0.25">
      <c r="A174" s="2">
        <v>173</v>
      </c>
      <c r="B174" s="2" t="str">
        <f t="shared" si="4"/>
        <v>ADN-P-173</v>
      </c>
      <c r="C174" s="2" t="s">
        <v>19</v>
      </c>
      <c r="D174" s="2" t="s">
        <v>221</v>
      </c>
      <c r="E174" s="2" t="s">
        <v>220</v>
      </c>
      <c r="F174" s="2" t="s">
        <v>219</v>
      </c>
      <c r="G174" s="2" t="s">
        <v>218</v>
      </c>
      <c r="H174" s="2" t="s">
        <v>217</v>
      </c>
      <c r="I174" s="2" t="s">
        <v>216</v>
      </c>
      <c r="J174" s="2" t="s">
        <v>215</v>
      </c>
      <c r="K174" s="2">
        <v>633.04</v>
      </c>
      <c r="L174" s="2">
        <v>128.01</v>
      </c>
      <c r="M174" s="2">
        <v>256.02</v>
      </c>
      <c r="N174" s="2">
        <v>6851</v>
      </c>
      <c r="O174" s="2">
        <v>8231</v>
      </c>
      <c r="P174" s="2">
        <f t="shared" si="5"/>
        <v>15082</v>
      </c>
      <c r="Q174" s="2"/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3</v>
      </c>
      <c r="AC174" s="2">
        <v>0</v>
      </c>
      <c r="AD174" s="2">
        <v>0</v>
      </c>
      <c r="AE174" s="2">
        <v>3</v>
      </c>
      <c r="AF174" s="2">
        <v>22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3">
        <f>DATE(BE174, MATCH(TRIM(BD174), {"ENERO";"FEBRERO";"MARZO";"ABRIL";"MAYO";"JUNIO";"JULIO";"AGOSTO";"SEPTIEMBRE";"OCTUBRE";"NOVIEMBRE";"DICIEMBRE"}, 0), BC174)</f>
        <v>45524</v>
      </c>
      <c r="BC174" s="2">
        <v>20</v>
      </c>
      <c r="BD174" s="2" t="s">
        <v>50</v>
      </c>
      <c r="BE174" s="2">
        <v>2024</v>
      </c>
      <c r="BF174" s="2"/>
      <c r="BG174" s="2">
        <v>1</v>
      </c>
      <c r="BH174" s="2">
        <v>1</v>
      </c>
      <c r="BI174" s="2" t="s">
        <v>1</v>
      </c>
      <c r="BJ174" s="2" t="s">
        <v>0</v>
      </c>
      <c r="BK174" s="2"/>
      <c r="BL174" s="2"/>
    </row>
    <row r="175" spans="1:64" ht="18.75" x14ac:dyDescent="0.25">
      <c r="A175" s="2">
        <v>174</v>
      </c>
      <c r="B175" s="2" t="str">
        <f t="shared" si="4"/>
        <v>ADN-P-174</v>
      </c>
      <c r="C175" s="2" t="s">
        <v>9</v>
      </c>
      <c r="D175" s="2" t="s">
        <v>32</v>
      </c>
      <c r="E175" s="2" t="s">
        <v>214</v>
      </c>
      <c r="F175" s="2" t="s">
        <v>213</v>
      </c>
      <c r="G175" s="2" t="s">
        <v>212</v>
      </c>
      <c r="H175" s="2" t="s">
        <v>211</v>
      </c>
      <c r="I175" s="2" t="s">
        <v>210</v>
      </c>
      <c r="J175" s="2" t="s">
        <v>204</v>
      </c>
      <c r="K175" s="2">
        <v>2984.28</v>
      </c>
      <c r="L175" s="2">
        <v>277.89</v>
      </c>
      <c r="M175" s="2">
        <v>555.78</v>
      </c>
      <c r="N175" s="2">
        <v>24591</v>
      </c>
      <c r="O175" s="2">
        <v>26673</v>
      </c>
      <c r="P175" s="2">
        <f t="shared" si="5"/>
        <v>51264</v>
      </c>
      <c r="Q175" s="2" t="s">
        <v>86</v>
      </c>
      <c r="R175" s="2">
        <v>1</v>
      </c>
      <c r="S175" s="2">
        <v>1</v>
      </c>
      <c r="T175" s="2">
        <v>2</v>
      </c>
      <c r="U175" s="2">
        <v>0</v>
      </c>
      <c r="V175" s="2">
        <v>0</v>
      </c>
      <c r="W175" s="2">
        <v>24</v>
      </c>
      <c r="X175" s="2">
        <v>7</v>
      </c>
      <c r="Y175" s="2">
        <v>0</v>
      </c>
      <c r="Z175" s="2">
        <v>3</v>
      </c>
      <c r="AA175" s="2">
        <v>0</v>
      </c>
      <c r="AB175" s="2">
        <v>0</v>
      </c>
      <c r="AC175" s="2">
        <v>0</v>
      </c>
      <c r="AD175" s="2">
        <v>0</v>
      </c>
      <c r="AE175" s="2">
        <v>25</v>
      </c>
      <c r="AF175" s="2">
        <v>10</v>
      </c>
      <c r="AG175" s="2">
        <v>125.12</v>
      </c>
      <c r="AH175" s="2">
        <v>0</v>
      </c>
      <c r="AI175" s="2">
        <v>5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3">
        <f>DATE(BE175, MATCH(TRIM(BD175), {"ENERO";"FEBRERO";"MARZO";"ABRIL";"MAYO";"JUNIO";"JULIO";"AGOSTO";"SEPTIEMBRE";"OCTUBRE";"NOVIEMBRE";"DICIEMBRE"}, 0), BC175)</f>
        <v>45532</v>
      </c>
      <c r="BC175" s="2">
        <v>28</v>
      </c>
      <c r="BD175" s="2" t="s">
        <v>50</v>
      </c>
      <c r="BE175" s="2">
        <v>2024</v>
      </c>
      <c r="BF175" s="2"/>
      <c r="BG175" s="2">
        <v>2</v>
      </c>
      <c r="BH175" s="2">
        <v>1</v>
      </c>
      <c r="BI175" s="2" t="s">
        <v>1</v>
      </c>
      <c r="BJ175" s="2" t="s">
        <v>0</v>
      </c>
      <c r="BK175" s="2"/>
      <c r="BL175" s="2"/>
    </row>
    <row r="176" spans="1:64" ht="18.75" x14ac:dyDescent="0.25">
      <c r="A176" s="2">
        <v>175</v>
      </c>
      <c r="B176" s="2" t="str">
        <f t="shared" si="4"/>
        <v>ADN-P-175</v>
      </c>
      <c r="C176" s="2" t="s">
        <v>9</v>
      </c>
      <c r="D176" s="2" t="s">
        <v>32</v>
      </c>
      <c r="E176" s="2" t="s">
        <v>209</v>
      </c>
      <c r="F176" s="2" t="s">
        <v>208</v>
      </c>
      <c r="G176" s="2" t="s">
        <v>207</v>
      </c>
      <c r="H176" s="2" t="s">
        <v>206</v>
      </c>
      <c r="I176" s="2" t="s">
        <v>205</v>
      </c>
      <c r="J176" s="2" t="s">
        <v>204</v>
      </c>
      <c r="K176" s="2">
        <v>591.01</v>
      </c>
      <c r="L176" s="2">
        <v>102.86</v>
      </c>
      <c r="M176" s="2">
        <v>205.72</v>
      </c>
      <c r="N176" s="2">
        <v>24591</v>
      </c>
      <c r="O176" s="2">
        <v>26673</v>
      </c>
      <c r="P176" s="2">
        <f t="shared" si="5"/>
        <v>51264</v>
      </c>
      <c r="Q176" s="2" t="s">
        <v>58</v>
      </c>
      <c r="R176" s="2">
        <v>1</v>
      </c>
      <c r="S176" s="2">
        <v>0</v>
      </c>
      <c r="T176" s="2">
        <v>0</v>
      </c>
      <c r="U176" s="2">
        <v>0</v>
      </c>
      <c r="V176" s="2">
        <v>0</v>
      </c>
      <c r="W176" s="2">
        <v>3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1</v>
      </c>
      <c r="AF176" s="2">
        <v>0</v>
      </c>
      <c r="AG176" s="2">
        <v>300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3">
        <f>DATE(BE176, MATCH(TRIM(BD176), {"ENERO";"FEBRERO";"MARZO";"ABRIL";"MAYO";"JUNIO";"JULIO";"AGOSTO";"SEPTIEMBRE";"OCTUBRE";"NOVIEMBRE";"DICIEMBRE"}, 0), BC176)</f>
        <v>45532</v>
      </c>
      <c r="BC176" s="2">
        <v>28</v>
      </c>
      <c r="BD176" s="2" t="s">
        <v>50</v>
      </c>
      <c r="BE176" s="2">
        <v>2024</v>
      </c>
      <c r="BF176" s="2"/>
      <c r="BG176" s="2">
        <v>2</v>
      </c>
      <c r="BH176" s="2">
        <v>2</v>
      </c>
      <c r="BI176" s="2" t="s">
        <v>1</v>
      </c>
      <c r="BJ176" s="2" t="s">
        <v>0</v>
      </c>
      <c r="BK176" s="2"/>
      <c r="BL176" s="2"/>
    </row>
    <row r="177" spans="1:64" ht="18.75" x14ac:dyDescent="0.25">
      <c r="A177" s="2">
        <v>176</v>
      </c>
      <c r="B177" s="2" t="str">
        <f t="shared" si="4"/>
        <v>ADN-P-176</v>
      </c>
      <c r="C177" s="2" t="s">
        <v>19</v>
      </c>
      <c r="D177" s="2" t="s">
        <v>25</v>
      </c>
      <c r="E177" s="2" t="s">
        <v>203</v>
      </c>
      <c r="F177" s="2" t="s">
        <v>202</v>
      </c>
      <c r="G177" s="2" t="s">
        <v>201</v>
      </c>
      <c r="H177" s="2" t="s">
        <v>200</v>
      </c>
      <c r="I177" s="2" t="s">
        <v>199</v>
      </c>
      <c r="J177" s="2" t="s">
        <v>198</v>
      </c>
      <c r="K177" s="2">
        <v>5044</v>
      </c>
      <c r="L177" s="2">
        <v>308.47000000000003</v>
      </c>
      <c r="M177" s="2">
        <v>616.94000000000005</v>
      </c>
      <c r="N177" s="2">
        <v>2335</v>
      </c>
      <c r="O177" s="2">
        <v>2687</v>
      </c>
      <c r="P177" s="2">
        <f t="shared" si="5"/>
        <v>5022</v>
      </c>
      <c r="Q177" s="2" t="s">
        <v>86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63</v>
      </c>
      <c r="AF177" s="2">
        <v>18</v>
      </c>
      <c r="AG177" s="2"/>
      <c r="AH177" s="2"/>
      <c r="AI177" s="2"/>
      <c r="AJ177" s="2"/>
      <c r="AK177" s="2"/>
      <c r="AL177" s="2"/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3">
        <f>DATE(BE177, MATCH(TRIM(BD177), {"ENERO";"FEBRERO";"MARZO";"ABRIL";"MAYO";"JUNIO";"JULIO";"AGOSTO";"SEPTIEMBRE";"OCTUBRE";"NOVIEMBRE";"DICIEMBRE"}, 0), BC177)</f>
        <v>45545</v>
      </c>
      <c r="BC177" s="2">
        <v>10</v>
      </c>
      <c r="BD177" s="2" t="s">
        <v>33</v>
      </c>
      <c r="BE177" s="2">
        <v>2024</v>
      </c>
      <c r="BF177" s="2"/>
      <c r="BG177" s="2">
        <v>1</v>
      </c>
      <c r="BH177" s="2">
        <v>1</v>
      </c>
      <c r="BI177" s="2" t="s">
        <v>143</v>
      </c>
      <c r="BJ177" s="2" t="s">
        <v>0</v>
      </c>
      <c r="BK177" s="2"/>
      <c r="BL177" s="2"/>
    </row>
    <row r="178" spans="1:64" ht="18.75" x14ac:dyDescent="0.25">
      <c r="A178" s="2">
        <v>177</v>
      </c>
      <c r="B178" s="2" t="str">
        <f t="shared" si="4"/>
        <v>ADN-P-177</v>
      </c>
      <c r="C178" s="2" t="s">
        <v>19</v>
      </c>
      <c r="D178" s="2" t="s">
        <v>47</v>
      </c>
      <c r="E178" s="2" t="s">
        <v>197</v>
      </c>
      <c r="F178" s="2" t="s">
        <v>129</v>
      </c>
      <c r="G178" s="2" t="s">
        <v>196</v>
      </c>
      <c r="H178" s="2" t="s">
        <v>195</v>
      </c>
      <c r="I178" s="2" t="s">
        <v>194</v>
      </c>
      <c r="J178" s="2" t="s">
        <v>193</v>
      </c>
      <c r="K178" s="2">
        <v>275.74</v>
      </c>
      <c r="L178" s="2">
        <v>25.33</v>
      </c>
      <c r="M178" s="2">
        <v>50.66</v>
      </c>
      <c r="N178" s="2">
        <v>3180</v>
      </c>
      <c r="O178" s="2">
        <v>3432</v>
      </c>
      <c r="P178" s="2">
        <f t="shared" si="5"/>
        <v>6612</v>
      </c>
      <c r="Q178" s="2" t="s">
        <v>192</v>
      </c>
      <c r="R178" s="2">
        <v>1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25</v>
      </c>
      <c r="Y178" s="2">
        <v>0</v>
      </c>
      <c r="Z178" s="2">
        <v>4</v>
      </c>
      <c r="AA178" s="2">
        <v>0</v>
      </c>
      <c r="AB178" s="2">
        <v>0</v>
      </c>
      <c r="AC178" s="2">
        <v>0</v>
      </c>
      <c r="AD178" s="2">
        <v>0</v>
      </c>
      <c r="AE178" s="2">
        <v>7</v>
      </c>
      <c r="AF178" s="2">
        <v>3</v>
      </c>
      <c r="AG178" s="2" t="s">
        <v>191</v>
      </c>
      <c r="AH178" s="2">
        <v>2</v>
      </c>
      <c r="AI178" s="2">
        <v>0</v>
      </c>
      <c r="AJ178" s="2">
        <v>0</v>
      </c>
      <c r="AK178" s="2">
        <v>1</v>
      </c>
      <c r="AL178" s="2">
        <v>1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3">
        <f>DATE(BE178, MATCH(TRIM(BD178), {"ENERO";"FEBRERO";"MARZO";"ABRIL";"MAYO";"JUNIO";"JULIO";"AGOSTO";"SEPTIEMBRE";"OCTUBRE";"NOVIEMBRE";"DICIEMBRE"}, 0), BC178)</f>
        <v>45561</v>
      </c>
      <c r="BC178" s="2">
        <v>26</v>
      </c>
      <c r="BD178" s="2" t="s">
        <v>33</v>
      </c>
      <c r="BE178" s="2">
        <v>2024</v>
      </c>
      <c r="BF178" s="2"/>
      <c r="BG178" s="2">
        <v>1</v>
      </c>
      <c r="BH178" s="2">
        <v>2</v>
      </c>
      <c r="BI178" s="2" t="s">
        <v>1</v>
      </c>
      <c r="BJ178" s="2" t="s">
        <v>0</v>
      </c>
      <c r="BK178" s="2"/>
      <c r="BL178" s="2"/>
    </row>
    <row r="179" spans="1:64" ht="18.75" x14ac:dyDescent="0.25">
      <c r="A179" s="2">
        <v>178</v>
      </c>
      <c r="B179" s="2" t="str">
        <f t="shared" si="4"/>
        <v>ADN-P-178</v>
      </c>
      <c r="C179" s="2" t="s">
        <v>19</v>
      </c>
      <c r="D179" s="2" t="s">
        <v>18</v>
      </c>
      <c r="E179" s="2" t="s">
        <v>190</v>
      </c>
      <c r="F179" s="2" t="s">
        <v>189</v>
      </c>
      <c r="G179" s="2" t="s">
        <v>188</v>
      </c>
      <c r="H179" s="2" t="s">
        <v>187</v>
      </c>
      <c r="I179" s="2" t="s">
        <v>186</v>
      </c>
      <c r="J179" s="2" t="s">
        <v>185</v>
      </c>
      <c r="K179" s="2">
        <v>2413.33</v>
      </c>
      <c r="L179" s="2">
        <v>263.74</v>
      </c>
      <c r="M179" s="2">
        <v>527.48</v>
      </c>
      <c r="N179" s="2">
        <v>5920</v>
      </c>
      <c r="O179" s="2">
        <v>6795</v>
      </c>
      <c r="P179" s="2">
        <f t="shared" si="5"/>
        <v>12715</v>
      </c>
      <c r="Q179" s="2" t="s">
        <v>86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49</v>
      </c>
      <c r="AF179" s="2">
        <v>6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3">
        <f>DATE(BE179, MATCH(TRIM(BD179), {"ENERO";"FEBRERO";"MARZO";"ABRIL";"MAYO";"JUNIO";"JULIO";"AGOSTO";"SEPTIEMBRE";"OCTUBRE";"NOVIEMBRE";"DICIEMBRE"}, 0), BC179)</f>
        <v>45575</v>
      </c>
      <c r="BC179" s="2">
        <v>10</v>
      </c>
      <c r="BD179" s="2" t="s">
        <v>26</v>
      </c>
      <c r="BE179" s="2">
        <v>2024</v>
      </c>
      <c r="BF179" s="2"/>
      <c r="BG179" s="2">
        <v>1</v>
      </c>
      <c r="BH179" s="2">
        <v>1</v>
      </c>
      <c r="BI179" s="2" t="s">
        <v>1</v>
      </c>
      <c r="BJ179" s="2" t="s">
        <v>0</v>
      </c>
      <c r="BK179" s="2"/>
      <c r="BL179" s="2"/>
    </row>
    <row r="180" spans="1:64" ht="18.75" x14ac:dyDescent="0.25">
      <c r="A180" s="2">
        <v>179</v>
      </c>
      <c r="B180" s="2" t="str">
        <f t="shared" si="4"/>
        <v>ADN-P-179</v>
      </c>
      <c r="C180" s="2" t="s">
        <v>19</v>
      </c>
      <c r="D180" s="2" t="s">
        <v>47</v>
      </c>
      <c r="E180" s="2" t="s">
        <v>184</v>
      </c>
      <c r="F180" s="2" t="s">
        <v>183</v>
      </c>
      <c r="G180" s="2" t="s">
        <v>182</v>
      </c>
      <c r="H180" s="2" t="s">
        <v>181</v>
      </c>
      <c r="I180" s="2" t="s">
        <v>180</v>
      </c>
      <c r="J180" s="2" t="s">
        <v>179</v>
      </c>
      <c r="K180" s="2">
        <v>3695</v>
      </c>
      <c r="L180" s="2">
        <v>198.45</v>
      </c>
      <c r="M180" s="2">
        <v>396.9</v>
      </c>
      <c r="N180" s="2">
        <v>13131</v>
      </c>
      <c r="O180" s="2">
        <v>15438</v>
      </c>
      <c r="P180" s="2">
        <f t="shared" si="5"/>
        <v>28569</v>
      </c>
      <c r="Q180" s="2" t="s">
        <v>86</v>
      </c>
      <c r="R180" s="2">
        <v>1</v>
      </c>
      <c r="S180" s="2">
        <v>6</v>
      </c>
      <c r="T180" s="2">
        <v>1</v>
      </c>
      <c r="U180" s="2">
        <v>2</v>
      </c>
      <c r="V180" s="2">
        <v>0</v>
      </c>
      <c r="W180" s="2">
        <v>68</v>
      </c>
      <c r="X180" s="2">
        <v>16</v>
      </c>
      <c r="Y180" s="2">
        <v>4</v>
      </c>
      <c r="Z180" s="2">
        <v>8</v>
      </c>
      <c r="AA180" s="2">
        <v>9</v>
      </c>
      <c r="AB180" s="2">
        <v>0</v>
      </c>
      <c r="AC180" s="2">
        <v>6</v>
      </c>
      <c r="AD180" s="2">
        <v>2</v>
      </c>
      <c r="AE180" s="2">
        <v>31</v>
      </c>
      <c r="AF180" s="2">
        <v>8</v>
      </c>
      <c r="AG180" s="2" t="s">
        <v>178</v>
      </c>
      <c r="AH180" s="2">
        <v>0</v>
      </c>
      <c r="AI180" s="2">
        <v>6</v>
      </c>
      <c r="AJ180" s="2">
        <v>0</v>
      </c>
      <c r="AK180" s="2">
        <v>0</v>
      </c>
      <c r="AL180" s="2">
        <v>1</v>
      </c>
      <c r="AM180" s="2">
        <v>1</v>
      </c>
      <c r="AN180" s="2">
        <v>1</v>
      </c>
      <c r="AO180" s="2">
        <v>1</v>
      </c>
      <c r="AP180" s="2">
        <v>0</v>
      </c>
      <c r="AQ180" s="2">
        <v>2</v>
      </c>
      <c r="AR180" s="2">
        <v>0</v>
      </c>
      <c r="AS180" s="2">
        <v>1</v>
      </c>
      <c r="AT180" s="2">
        <v>0</v>
      </c>
      <c r="AU180" s="2">
        <v>1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3">
        <f>DATE(BE180, MATCH(TRIM(BD180), {"ENERO";"FEBRERO";"MARZO";"ABRIL";"MAYO";"JUNIO";"JULIO";"AGOSTO";"SEPTIEMBRE";"OCTUBRE";"NOVIEMBRE";"DICIEMBRE"}, 0), BC180)</f>
        <v>45587</v>
      </c>
      <c r="BC180" s="2">
        <v>22</v>
      </c>
      <c r="BD180" s="2" t="s">
        <v>26</v>
      </c>
      <c r="BE180" s="2">
        <v>2024</v>
      </c>
      <c r="BF180" s="2"/>
      <c r="BG180" s="2">
        <v>1</v>
      </c>
      <c r="BH180" s="2">
        <v>1</v>
      </c>
      <c r="BI180" s="2" t="s">
        <v>1</v>
      </c>
      <c r="BJ180" s="2" t="s">
        <v>0</v>
      </c>
      <c r="BK180" s="2"/>
      <c r="BL180" s="2"/>
    </row>
    <row r="181" spans="1:64" ht="18.75" x14ac:dyDescent="0.25">
      <c r="A181" s="2">
        <v>180</v>
      </c>
      <c r="B181" s="2" t="str">
        <f t="shared" si="4"/>
        <v>ADN-P-180</v>
      </c>
      <c r="C181" s="2" t="s">
        <v>9</v>
      </c>
      <c r="D181" s="2" t="s">
        <v>32</v>
      </c>
      <c r="E181" s="2" t="s">
        <v>177</v>
      </c>
      <c r="F181" s="2" t="s">
        <v>176</v>
      </c>
      <c r="G181" s="2" t="s">
        <v>175</v>
      </c>
      <c r="H181" s="2" t="s">
        <v>174</v>
      </c>
      <c r="I181" s="2" t="s">
        <v>173</v>
      </c>
      <c r="J181" s="2" t="s">
        <v>172</v>
      </c>
      <c r="K181" s="2">
        <v>5841.8</v>
      </c>
      <c r="L181" s="2">
        <v>333.67</v>
      </c>
      <c r="M181" s="2">
        <v>667.34</v>
      </c>
      <c r="N181" s="2">
        <v>6295</v>
      </c>
      <c r="O181" s="2">
        <v>7445</v>
      </c>
      <c r="P181" s="2">
        <f t="shared" si="5"/>
        <v>13740</v>
      </c>
      <c r="Q181" s="2" t="s">
        <v>86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10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3">
        <f>DATE(BE181, MATCH(TRIM(BD181), {"ENERO";"FEBRERO";"MARZO";"ABRIL";"MAYO";"JUNIO";"JULIO";"AGOSTO";"SEPTIEMBRE";"OCTUBRE";"NOVIEMBRE";"DICIEMBRE"}, 0), BC181)</f>
        <v>45604</v>
      </c>
      <c r="BC181" s="2">
        <v>8</v>
      </c>
      <c r="BD181" s="2" t="s">
        <v>20</v>
      </c>
      <c r="BE181" s="2">
        <v>2024</v>
      </c>
      <c r="BF181" s="2"/>
      <c r="BG181" s="2">
        <v>2</v>
      </c>
      <c r="BH181" s="2">
        <v>1</v>
      </c>
      <c r="BI181" s="2" t="s">
        <v>1</v>
      </c>
      <c r="BJ181" s="2" t="s">
        <v>0</v>
      </c>
      <c r="BK181" s="2"/>
      <c r="BL181" s="2"/>
    </row>
    <row r="182" spans="1:64" ht="18.75" x14ac:dyDescent="0.25">
      <c r="A182" s="2">
        <v>181</v>
      </c>
      <c r="B182" s="2" t="str">
        <f t="shared" si="4"/>
        <v>ADN-P-181</v>
      </c>
      <c r="C182" s="2" t="s">
        <v>19</v>
      </c>
      <c r="D182" s="2" t="s">
        <v>47</v>
      </c>
      <c r="E182" s="2" t="s">
        <v>171</v>
      </c>
      <c r="F182" s="2" t="s">
        <v>170</v>
      </c>
      <c r="G182" s="2" t="s">
        <v>169</v>
      </c>
      <c r="H182" s="2" t="s">
        <v>168</v>
      </c>
      <c r="I182" s="2" t="s">
        <v>167</v>
      </c>
      <c r="J182" s="2" t="s">
        <v>166</v>
      </c>
      <c r="K182" s="2">
        <v>3760</v>
      </c>
      <c r="L182" s="2">
        <v>135.93</v>
      </c>
      <c r="M182" s="2">
        <v>271.86</v>
      </c>
      <c r="N182" s="2">
        <v>4426</v>
      </c>
      <c r="O182" s="2">
        <v>5362</v>
      </c>
      <c r="P182" s="2">
        <f t="shared" si="5"/>
        <v>9788</v>
      </c>
      <c r="Q182" s="2" t="s">
        <v>86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1</v>
      </c>
      <c r="AC182" s="2">
        <v>0</v>
      </c>
      <c r="AD182" s="2">
        <v>0</v>
      </c>
      <c r="AE182" s="2">
        <v>0</v>
      </c>
      <c r="AF182" s="2">
        <v>4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3">
        <f>DATE(BE182, MATCH(TRIM(BD182), {"ENERO";"FEBRERO";"MARZO";"ABRIL";"MAYO";"JUNIO";"JULIO";"AGOSTO";"SEPTIEMBRE";"OCTUBRE";"NOVIEMBRE";"DICIEMBRE"}, 0), BC182)</f>
        <v>45613</v>
      </c>
      <c r="BC182" s="2">
        <v>17</v>
      </c>
      <c r="BD182" s="2" t="s">
        <v>20</v>
      </c>
      <c r="BE182" s="2">
        <v>2024</v>
      </c>
      <c r="BF182" s="2"/>
      <c r="BG182" s="2">
        <v>1</v>
      </c>
      <c r="BH182" s="2">
        <v>1</v>
      </c>
      <c r="BI182" s="2" t="s">
        <v>143</v>
      </c>
      <c r="BJ182" s="2" t="s">
        <v>0</v>
      </c>
      <c r="BK182" s="2"/>
      <c r="BL182" s="2"/>
    </row>
    <row r="183" spans="1:64" ht="18.75" x14ac:dyDescent="0.25">
      <c r="A183" s="2">
        <v>182</v>
      </c>
      <c r="B183" s="2" t="str">
        <f t="shared" si="4"/>
        <v>ADN-P-182</v>
      </c>
      <c r="C183" s="2" t="s">
        <v>9</v>
      </c>
      <c r="D183" s="2" t="s">
        <v>32</v>
      </c>
      <c r="E183" s="2" t="s">
        <v>165</v>
      </c>
      <c r="F183" s="2" t="s">
        <v>164</v>
      </c>
      <c r="G183" s="2" t="s">
        <v>163</v>
      </c>
      <c r="H183" s="2" t="s">
        <v>162</v>
      </c>
      <c r="I183" s="2" t="s">
        <v>161</v>
      </c>
      <c r="J183" s="2" t="s">
        <v>1202</v>
      </c>
      <c r="K183" s="2">
        <v>720</v>
      </c>
      <c r="L183" s="2">
        <v>153.96</v>
      </c>
      <c r="M183" s="2">
        <v>307.92</v>
      </c>
      <c r="N183" s="2">
        <v>1663</v>
      </c>
      <c r="O183" s="2">
        <v>1694</v>
      </c>
      <c r="P183" s="2">
        <f t="shared" si="5"/>
        <v>3357</v>
      </c>
      <c r="Q183" s="2" t="s">
        <v>86</v>
      </c>
      <c r="R183" s="2">
        <v>1</v>
      </c>
      <c r="S183" s="2">
        <v>2</v>
      </c>
      <c r="T183" s="2">
        <v>3</v>
      </c>
      <c r="U183" s="2">
        <v>0</v>
      </c>
      <c r="V183" s="2">
        <v>0</v>
      </c>
      <c r="W183" s="2">
        <v>23</v>
      </c>
      <c r="X183" s="2">
        <v>16</v>
      </c>
      <c r="Y183" s="2">
        <v>1</v>
      </c>
      <c r="Z183" s="2">
        <v>3</v>
      </c>
      <c r="AA183" s="2">
        <v>4</v>
      </c>
      <c r="AB183" s="2">
        <v>0</v>
      </c>
      <c r="AC183" s="2">
        <v>1</v>
      </c>
      <c r="AD183" s="2">
        <v>0</v>
      </c>
      <c r="AE183" s="2">
        <v>12</v>
      </c>
      <c r="AF183" s="2">
        <v>4</v>
      </c>
      <c r="AG183" s="2">
        <v>231.1</v>
      </c>
      <c r="AH183" s="2">
        <v>0</v>
      </c>
      <c r="AI183" s="2">
        <v>0</v>
      </c>
      <c r="AJ183" s="2">
        <v>1</v>
      </c>
      <c r="AK183" s="2">
        <v>0</v>
      </c>
      <c r="AL183" s="2">
        <v>2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3">
        <f>DATE(BE183, MATCH(TRIM(BD183), {"ENERO";"FEBRERO";"MARZO";"ABRIL";"MAYO";"JUNIO";"JULIO";"AGOSTO";"SEPTIEMBRE";"OCTUBRE";"NOVIEMBRE";"DICIEMBRE"}, 0), BC183)</f>
        <v>45633</v>
      </c>
      <c r="BC183" s="2">
        <v>7</v>
      </c>
      <c r="BD183" s="2" t="s">
        <v>2</v>
      </c>
      <c r="BE183" s="2">
        <v>2024</v>
      </c>
      <c r="BF183" s="2"/>
      <c r="BG183" s="2">
        <v>2</v>
      </c>
      <c r="BH183" s="2">
        <v>1</v>
      </c>
      <c r="BI183" s="2" t="s">
        <v>1</v>
      </c>
      <c r="BJ183" s="2" t="s">
        <v>0</v>
      </c>
      <c r="BK183" s="2"/>
      <c r="BL183" s="2"/>
    </row>
    <row r="184" spans="1:64" ht="18.75" x14ac:dyDescent="0.25">
      <c r="A184" s="2">
        <v>183</v>
      </c>
      <c r="B184" s="2" t="str">
        <f t="shared" si="4"/>
        <v>ADN-P-183</v>
      </c>
      <c r="C184" s="2" t="s">
        <v>19</v>
      </c>
      <c r="D184" s="2" t="s">
        <v>47</v>
      </c>
      <c r="E184" s="2" t="s">
        <v>160</v>
      </c>
      <c r="F184" s="2" t="s">
        <v>129</v>
      </c>
      <c r="G184" s="2" t="s">
        <v>159</v>
      </c>
      <c r="H184" s="2" t="s">
        <v>158</v>
      </c>
      <c r="I184" s="2" t="s">
        <v>157</v>
      </c>
      <c r="J184" s="2" t="s">
        <v>125</v>
      </c>
      <c r="K184" s="2">
        <v>3873.96</v>
      </c>
      <c r="L184" s="2">
        <v>316.17</v>
      </c>
      <c r="M184" s="2">
        <v>632.34</v>
      </c>
      <c r="N184" s="2">
        <v>30</v>
      </c>
      <c r="O184" s="2">
        <v>35</v>
      </c>
      <c r="P184" s="2">
        <f t="shared" si="5"/>
        <v>65</v>
      </c>
      <c r="Q184" s="2" t="s">
        <v>86</v>
      </c>
      <c r="R184" s="2">
        <v>1</v>
      </c>
      <c r="S184" s="2">
        <v>0</v>
      </c>
      <c r="T184" s="2">
        <v>1</v>
      </c>
      <c r="U184" s="2">
        <v>0</v>
      </c>
      <c r="V184" s="2">
        <v>0</v>
      </c>
      <c r="W184" s="2">
        <v>30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2</v>
      </c>
      <c r="AE184" s="2">
        <v>35</v>
      </c>
      <c r="AF184" s="2">
        <v>21</v>
      </c>
      <c r="AG184" s="2">
        <v>650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5</v>
      </c>
      <c r="BA184" s="2">
        <v>0</v>
      </c>
      <c r="BB184" s="3">
        <f>DATE(BE184, MATCH(TRIM(BD184), {"ENERO";"FEBRERO";"MARZO";"ABRIL";"MAYO";"JUNIO";"JULIO";"AGOSTO";"SEPTIEMBRE";"OCTUBRE";"NOVIEMBRE";"DICIEMBRE"}, 0), BC184)</f>
        <v>45634</v>
      </c>
      <c r="BC184" s="2">
        <v>8</v>
      </c>
      <c r="BD184" s="2" t="s">
        <v>2</v>
      </c>
      <c r="BE184" s="2">
        <v>2024</v>
      </c>
      <c r="BF184" s="2"/>
      <c r="BG184" s="2">
        <v>1</v>
      </c>
      <c r="BH184" s="2">
        <v>1</v>
      </c>
      <c r="BI184" s="2" t="s">
        <v>1</v>
      </c>
      <c r="BJ184" s="2" t="s">
        <v>0</v>
      </c>
      <c r="BK184" s="2"/>
      <c r="BL184" s="2"/>
    </row>
    <row r="185" spans="1:64" ht="18.75" x14ac:dyDescent="0.25">
      <c r="A185" s="2">
        <v>184</v>
      </c>
      <c r="B185" s="2" t="str">
        <f t="shared" si="4"/>
        <v>ADN-P-184</v>
      </c>
      <c r="C185" s="2" t="s">
        <v>9</v>
      </c>
      <c r="D185" s="2" t="s">
        <v>78</v>
      </c>
      <c r="E185" s="2" t="s">
        <v>156</v>
      </c>
      <c r="F185" s="2" t="s">
        <v>155</v>
      </c>
      <c r="G185" s="2" t="s">
        <v>154</v>
      </c>
      <c r="H185" s="2" t="s">
        <v>153</v>
      </c>
      <c r="I185" s="2" t="s">
        <v>152</v>
      </c>
      <c r="J185" s="2" t="s">
        <v>151</v>
      </c>
      <c r="K185" s="2">
        <v>6835.51</v>
      </c>
      <c r="L185" s="2">
        <v>463.94</v>
      </c>
      <c r="M185" s="2">
        <v>927.88</v>
      </c>
      <c r="N185" s="2">
        <v>7504</v>
      </c>
      <c r="O185" s="2">
        <v>8128</v>
      </c>
      <c r="P185" s="2">
        <f t="shared" si="5"/>
        <v>15632</v>
      </c>
      <c r="Q185" s="2" t="s">
        <v>86</v>
      </c>
      <c r="R185" s="2">
        <v>0</v>
      </c>
      <c r="S185" s="2">
        <v>1</v>
      </c>
      <c r="T185" s="2">
        <v>0</v>
      </c>
      <c r="U185" s="2">
        <v>0</v>
      </c>
      <c r="V185" s="2">
        <v>0</v>
      </c>
      <c r="W185" s="2">
        <v>3</v>
      </c>
      <c r="X185" s="2">
        <v>5</v>
      </c>
      <c r="Y185" s="2">
        <v>0</v>
      </c>
      <c r="Z185" s="2">
        <v>1</v>
      </c>
      <c r="AA185" s="2">
        <v>0</v>
      </c>
      <c r="AB185" s="2">
        <v>0</v>
      </c>
      <c r="AC185" s="2">
        <v>0</v>
      </c>
      <c r="AD185" s="2">
        <v>0</v>
      </c>
      <c r="AE185" s="2">
        <v>4</v>
      </c>
      <c r="AF185" s="2">
        <v>21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1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3">
        <f>DATE(BE185, MATCH(TRIM(BD185), {"ENERO";"FEBRERO";"MARZO";"ABRIL";"MAYO";"JUNIO";"JULIO";"AGOSTO";"SEPTIEMBRE";"OCTUBRE";"NOVIEMBRE";"DICIEMBRE"}, 0), BC185)</f>
        <v>45636</v>
      </c>
      <c r="BC185" s="2">
        <v>10</v>
      </c>
      <c r="BD185" s="2" t="s">
        <v>2</v>
      </c>
      <c r="BE185" s="2">
        <v>2024</v>
      </c>
      <c r="BF185" s="2"/>
      <c r="BG185" s="2">
        <v>2</v>
      </c>
      <c r="BH185" s="2">
        <v>1</v>
      </c>
      <c r="BI185" s="2" t="s">
        <v>143</v>
      </c>
      <c r="BJ185" s="2" t="s">
        <v>0</v>
      </c>
      <c r="BK185" s="2"/>
      <c r="BL185" s="2"/>
    </row>
    <row r="186" spans="1:64" ht="18.75" x14ac:dyDescent="0.25">
      <c r="A186" s="2">
        <v>185</v>
      </c>
      <c r="B186" s="2" t="str">
        <f t="shared" si="4"/>
        <v>ADN-P-185</v>
      </c>
      <c r="C186" s="2" t="s">
        <v>19</v>
      </c>
      <c r="D186" s="2" t="s">
        <v>18</v>
      </c>
      <c r="E186" s="2" t="s">
        <v>150</v>
      </c>
      <c r="F186" s="2" t="s">
        <v>149</v>
      </c>
      <c r="G186" s="2" t="s">
        <v>148</v>
      </c>
      <c r="H186" s="2" t="s">
        <v>147</v>
      </c>
      <c r="I186" s="2" t="s">
        <v>146</v>
      </c>
      <c r="J186" s="2" t="s">
        <v>145</v>
      </c>
      <c r="K186" s="2">
        <v>45.17</v>
      </c>
      <c r="L186" s="2">
        <v>3</v>
      </c>
      <c r="M186" s="2">
        <v>6</v>
      </c>
      <c r="N186" s="2"/>
      <c r="O186" s="2"/>
      <c r="P186" s="2">
        <f t="shared" si="5"/>
        <v>0</v>
      </c>
      <c r="Q186" s="2" t="s">
        <v>58</v>
      </c>
      <c r="R186" s="2">
        <v>0</v>
      </c>
      <c r="S186" s="2">
        <v>0</v>
      </c>
      <c r="T186" s="2">
        <v>1</v>
      </c>
      <c r="U186" s="2">
        <v>0</v>
      </c>
      <c r="V186" s="2">
        <v>0</v>
      </c>
      <c r="W186" s="2">
        <v>2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2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3">
        <f>DATE(BE186, MATCH(TRIM(BD186), {"ENERO";"FEBRERO";"MARZO";"ABRIL";"MAYO";"JUNIO";"JULIO";"AGOSTO";"SEPTIEMBRE";"OCTUBRE";"NOVIEMBRE";"DICIEMBRE"}, 0), BC186)</f>
        <v>45672</v>
      </c>
      <c r="BC186" s="2">
        <v>15</v>
      </c>
      <c r="BD186" s="2" t="s">
        <v>144</v>
      </c>
      <c r="BE186" s="2">
        <v>2025</v>
      </c>
      <c r="BF186" s="2"/>
      <c r="BG186" s="2">
        <v>1</v>
      </c>
      <c r="BH186" s="2">
        <v>2</v>
      </c>
      <c r="BI186" s="2" t="s">
        <v>143</v>
      </c>
      <c r="BJ186" s="2" t="s">
        <v>0</v>
      </c>
      <c r="BK186" s="2"/>
      <c r="BL186" s="2"/>
    </row>
    <row r="187" spans="1:64" ht="18.75" x14ac:dyDescent="0.25">
      <c r="A187" s="2">
        <v>186</v>
      </c>
      <c r="B187" s="2" t="str">
        <f t="shared" si="4"/>
        <v>ADN-P-186</v>
      </c>
      <c r="C187" s="2" t="s">
        <v>119</v>
      </c>
      <c r="D187" s="2" t="s">
        <v>137</v>
      </c>
      <c r="E187" s="2" t="s">
        <v>142</v>
      </c>
      <c r="F187" s="2" t="s">
        <v>141</v>
      </c>
      <c r="G187" s="2" t="s">
        <v>140</v>
      </c>
      <c r="H187" s="2" t="s">
        <v>139</v>
      </c>
      <c r="I187" s="2" t="s">
        <v>138</v>
      </c>
      <c r="J187" s="2" t="s">
        <v>131</v>
      </c>
      <c r="K187" s="2">
        <v>538.89</v>
      </c>
      <c r="L187" s="2">
        <v>88.95</v>
      </c>
      <c r="M187" s="2">
        <v>177.9</v>
      </c>
      <c r="N187" s="2">
        <v>7256</v>
      </c>
      <c r="O187" s="2">
        <v>7711</v>
      </c>
      <c r="P187" s="2">
        <f t="shared" si="5"/>
        <v>14967</v>
      </c>
      <c r="Q187" s="2" t="s">
        <v>86</v>
      </c>
      <c r="R187" s="2">
        <v>0</v>
      </c>
      <c r="S187" s="2">
        <v>0</v>
      </c>
      <c r="T187" s="2">
        <v>4</v>
      </c>
      <c r="U187" s="2">
        <v>0</v>
      </c>
      <c r="V187" s="2">
        <v>0</v>
      </c>
      <c r="W187" s="2">
        <v>9</v>
      </c>
      <c r="X187" s="2">
        <v>2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19</v>
      </c>
      <c r="AF187" s="2">
        <v>15</v>
      </c>
      <c r="AG187" s="2">
        <v>137.4</v>
      </c>
      <c r="AH187" s="2">
        <v>0</v>
      </c>
      <c r="AI187" s="2">
        <v>0</v>
      </c>
      <c r="AJ187" s="2">
        <v>4</v>
      </c>
      <c r="AK187" s="2">
        <v>12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3">
        <f>DATE(BE187, MATCH(TRIM(BD187), {"ENERO";"FEBRERO";"MARZO";"ABRIL";"MAYO";"JUNIO";"JULIO";"AGOSTO";"SEPTIEMBRE";"OCTUBRE";"NOVIEMBRE";"DICIEMBRE"}, 0), BC187)</f>
        <v>45726</v>
      </c>
      <c r="BC187" s="2">
        <v>10</v>
      </c>
      <c r="BD187" s="2" t="s">
        <v>104</v>
      </c>
      <c r="BE187" s="2">
        <v>2025</v>
      </c>
      <c r="BF187" s="2"/>
      <c r="BG187" s="2">
        <v>3</v>
      </c>
      <c r="BH187" s="2">
        <v>1</v>
      </c>
      <c r="BI187" s="2" t="s">
        <v>1</v>
      </c>
      <c r="BJ187" s="2" t="s">
        <v>0</v>
      </c>
      <c r="BK187" s="2"/>
      <c r="BL187" s="2"/>
    </row>
    <row r="188" spans="1:64" ht="18.75" x14ac:dyDescent="0.25">
      <c r="A188" s="2">
        <v>187</v>
      </c>
      <c r="B188" s="2" t="str">
        <f t="shared" si="4"/>
        <v>ADN-P-187</v>
      </c>
      <c r="C188" s="2" t="s">
        <v>119</v>
      </c>
      <c r="D188" s="2" t="s">
        <v>137</v>
      </c>
      <c r="E188" s="2" t="s">
        <v>136</v>
      </c>
      <c r="F188" s="2" t="s">
        <v>135</v>
      </c>
      <c r="G188" s="2" t="s">
        <v>134</v>
      </c>
      <c r="H188" s="2" t="s">
        <v>133</v>
      </c>
      <c r="I188" s="2" t="s">
        <v>132</v>
      </c>
      <c r="J188" s="2" t="s">
        <v>131</v>
      </c>
      <c r="K188" s="2">
        <v>2187.4899999999998</v>
      </c>
      <c r="L188" s="2">
        <v>250.88</v>
      </c>
      <c r="M188" s="2">
        <v>501.76</v>
      </c>
      <c r="N188" s="2">
        <v>7256</v>
      </c>
      <c r="O188" s="2">
        <v>7711</v>
      </c>
      <c r="P188" s="2">
        <f t="shared" si="5"/>
        <v>14967</v>
      </c>
      <c r="Q188" s="2" t="s">
        <v>86</v>
      </c>
      <c r="R188" s="2">
        <v>0</v>
      </c>
      <c r="S188" s="2">
        <v>0</v>
      </c>
      <c r="T188" s="2">
        <v>0</v>
      </c>
      <c r="U188" s="2"/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10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3">
        <f>DATE(BE188, MATCH(TRIM(BD188), {"ENERO";"FEBRERO";"MARZO";"ABRIL";"MAYO";"JUNIO";"JULIO";"AGOSTO";"SEPTIEMBRE";"OCTUBRE";"NOVIEMBRE";"DICIEMBRE"}, 0), BC188)</f>
        <v>45735</v>
      </c>
      <c r="BC188" s="2">
        <v>19</v>
      </c>
      <c r="BD188" s="2" t="s">
        <v>104</v>
      </c>
      <c r="BE188" s="2">
        <v>2025</v>
      </c>
      <c r="BF188" s="2"/>
      <c r="BG188" s="2">
        <v>3</v>
      </c>
      <c r="BH188" s="2">
        <v>1</v>
      </c>
      <c r="BI188" s="2" t="s">
        <v>1</v>
      </c>
      <c r="BJ188" s="2" t="s">
        <v>0</v>
      </c>
      <c r="BK188" s="2"/>
      <c r="BL188" s="2"/>
    </row>
    <row r="189" spans="1:64" ht="18.75" x14ac:dyDescent="0.25">
      <c r="A189" s="2">
        <v>188</v>
      </c>
      <c r="B189" s="2" t="str">
        <f t="shared" si="4"/>
        <v>ADN-P-188</v>
      </c>
      <c r="C189" s="2" t="s">
        <v>19</v>
      </c>
      <c r="D189" s="2" t="s">
        <v>111</v>
      </c>
      <c r="E189" s="2" t="s">
        <v>130</v>
      </c>
      <c r="F189" s="2" t="s">
        <v>129</v>
      </c>
      <c r="G189" s="2" t="s">
        <v>128</v>
      </c>
      <c r="H189" s="2" t="s">
        <v>127</v>
      </c>
      <c r="I189" s="2" t="s">
        <v>126</v>
      </c>
      <c r="J189" s="2" t="s">
        <v>125</v>
      </c>
      <c r="K189" s="2">
        <v>12363.71</v>
      </c>
      <c r="L189" s="2">
        <v>197.29</v>
      </c>
      <c r="M189" s="2">
        <v>690.51499999999999</v>
      </c>
      <c r="N189" s="2">
        <v>30</v>
      </c>
      <c r="O189" s="2">
        <v>35</v>
      </c>
      <c r="P189" s="2">
        <f t="shared" si="5"/>
        <v>65</v>
      </c>
      <c r="Q189" s="2" t="s">
        <v>86</v>
      </c>
      <c r="R189" s="2">
        <v>1</v>
      </c>
      <c r="S189" s="2">
        <v>1</v>
      </c>
      <c r="T189" s="2">
        <v>2</v>
      </c>
      <c r="U189" s="2">
        <v>0</v>
      </c>
      <c r="V189" s="2">
        <v>1</v>
      </c>
      <c r="W189" s="2">
        <v>28</v>
      </c>
      <c r="X189" s="2">
        <v>45</v>
      </c>
      <c r="Y189" s="2">
        <v>0</v>
      </c>
      <c r="Z189" s="2">
        <v>6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428.29</v>
      </c>
      <c r="AH189" s="2">
        <v>0</v>
      </c>
      <c r="AI189" s="2">
        <v>7</v>
      </c>
      <c r="AJ189" s="2">
        <v>12</v>
      </c>
      <c r="AK189" s="2">
        <v>2</v>
      </c>
      <c r="AL189" s="2">
        <v>5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1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3">
        <f>DATE(BE189, MATCH(TRIM(BD189), {"ENERO";"FEBRERO";"MARZO";"ABRIL";"MAYO";"JUNIO";"JULIO";"AGOSTO";"SEPTIEMBRE";"OCTUBRE";"NOVIEMBRE";"DICIEMBRE"}, 0), BC189)</f>
        <v>45754</v>
      </c>
      <c r="BC189" s="2">
        <v>7</v>
      </c>
      <c r="BD189" s="2" t="s">
        <v>93</v>
      </c>
      <c r="BE189" s="2">
        <v>2025</v>
      </c>
      <c r="BF189" s="2"/>
      <c r="BG189" s="2">
        <v>1</v>
      </c>
      <c r="BH189" s="2">
        <v>1</v>
      </c>
      <c r="BI189" s="2" t="s">
        <v>1</v>
      </c>
      <c r="BJ189" s="2" t="s">
        <v>0</v>
      </c>
      <c r="BK189" s="2"/>
      <c r="BL189" s="2"/>
    </row>
    <row r="190" spans="1:64" ht="18.75" x14ac:dyDescent="0.25">
      <c r="A190" s="2">
        <v>189</v>
      </c>
      <c r="B190" s="2" t="str">
        <f t="shared" si="4"/>
        <v>ADN-P-189</v>
      </c>
      <c r="C190" s="2" t="s">
        <v>119</v>
      </c>
      <c r="D190" s="2" t="s">
        <v>118</v>
      </c>
      <c r="E190" s="2" t="s">
        <v>124</v>
      </c>
      <c r="F190" s="2" t="s">
        <v>123</v>
      </c>
      <c r="G190" s="2" t="s">
        <v>122</v>
      </c>
      <c r="H190" s="2" t="s">
        <v>121</v>
      </c>
      <c r="I190" s="2" t="s">
        <v>120</v>
      </c>
      <c r="J190" s="2" t="s">
        <v>112</v>
      </c>
      <c r="K190" s="2">
        <v>809.58</v>
      </c>
      <c r="L190" s="2">
        <v>210.34</v>
      </c>
      <c r="M190" s="2">
        <v>420.68</v>
      </c>
      <c r="N190" s="2">
        <v>9169</v>
      </c>
      <c r="O190" s="2">
        <v>9796</v>
      </c>
      <c r="P190" s="2">
        <f t="shared" si="5"/>
        <v>18965</v>
      </c>
      <c r="Q190" s="2" t="s">
        <v>86</v>
      </c>
      <c r="R190" s="2">
        <v>1</v>
      </c>
      <c r="S190" s="2">
        <v>1</v>
      </c>
      <c r="T190" s="2">
        <v>1</v>
      </c>
      <c r="U190" s="2">
        <v>0</v>
      </c>
      <c r="V190" s="2">
        <v>0</v>
      </c>
      <c r="W190" s="2">
        <v>12</v>
      </c>
      <c r="X190" s="2">
        <v>7</v>
      </c>
      <c r="Y190" s="2">
        <v>1</v>
      </c>
      <c r="Z190" s="2">
        <v>2</v>
      </c>
      <c r="AA190" s="2">
        <v>7</v>
      </c>
      <c r="AB190" s="2">
        <v>0</v>
      </c>
      <c r="AC190" s="2">
        <v>2</v>
      </c>
      <c r="AD190" s="2">
        <v>1</v>
      </c>
      <c r="AE190" s="2">
        <v>0</v>
      </c>
      <c r="AF190" s="2">
        <v>6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3">
        <f>DATE(BE190, MATCH(TRIM(BD190), {"ENERO";"FEBRERO";"MARZO";"ABRIL";"MAYO";"JUNIO";"JULIO";"AGOSTO";"SEPTIEMBRE";"OCTUBRE";"NOVIEMBRE";"DICIEMBRE"}, 0), BC190)</f>
        <v>45736</v>
      </c>
      <c r="BC190" s="2">
        <v>20</v>
      </c>
      <c r="BD190" s="2" t="s">
        <v>104</v>
      </c>
      <c r="BE190" s="2">
        <v>2025</v>
      </c>
      <c r="BF190" s="2"/>
      <c r="BG190" s="2">
        <v>3</v>
      </c>
      <c r="BH190" s="2">
        <v>1</v>
      </c>
      <c r="BI190" s="2" t="s">
        <v>1</v>
      </c>
      <c r="BJ190" s="2" t="s">
        <v>0</v>
      </c>
      <c r="BK190" s="2"/>
      <c r="BL190" s="2"/>
    </row>
    <row r="191" spans="1:64" ht="18.75" x14ac:dyDescent="0.25">
      <c r="A191" s="2">
        <v>190</v>
      </c>
      <c r="B191" s="2" t="str">
        <f t="shared" si="4"/>
        <v>ADN-P-190</v>
      </c>
      <c r="C191" s="2" t="s">
        <v>119</v>
      </c>
      <c r="D191" s="2" t="s">
        <v>118</v>
      </c>
      <c r="E191" s="2" t="s">
        <v>117</v>
      </c>
      <c r="F191" s="2" t="s">
        <v>116</v>
      </c>
      <c r="G191" s="2" t="s">
        <v>115</v>
      </c>
      <c r="H191" s="2" t="s">
        <v>114</v>
      </c>
      <c r="I191" s="2" t="s">
        <v>113</v>
      </c>
      <c r="J191" s="2" t="s">
        <v>112</v>
      </c>
      <c r="K191" s="2">
        <v>917.82</v>
      </c>
      <c r="L191" s="2"/>
      <c r="M191" s="2">
        <v>0</v>
      </c>
      <c r="N191" s="2">
        <v>9169</v>
      </c>
      <c r="O191" s="2">
        <v>9796</v>
      </c>
      <c r="P191" s="2">
        <f t="shared" si="5"/>
        <v>18965</v>
      </c>
      <c r="Q191" s="2" t="s">
        <v>58</v>
      </c>
      <c r="R191" s="2">
        <v>0</v>
      </c>
      <c r="S191" s="2">
        <v>0</v>
      </c>
      <c r="T191" s="2">
        <v>1</v>
      </c>
      <c r="U191" s="2">
        <v>0</v>
      </c>
      <c r="V191" s="2">
        <v>0</v>
      </c>
      <c r="W191" s="2">
        <v>5</v>
      </c>
      <c r="X191" s="2">
        <v>2</v>
      </c>
      <c r="Y191" s="2">
        <v>0</v>
      </c>
      <c r="Z191" s="2">
        <v>1</v>
      </c>
      <c r="AA191" s="2">
        <v>0</v>
      </c>
      <c r="AB191" s="2">
        <v>0</v>
      </c>
      <c r="AC191" s="2">
        <v>0</v>
      </c>
      <c r="AD191" s="2">
        <v>0</v>
      </c>
      <c r="AE191" s="2">
        <v>3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2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3">
        <f>DATE(BE191, MATCH(TRIM(BD191), {"ENERO";"FEBRERO";"MARZO";"ABRIL";"MAYO";"JUNIO";"JULIO";"AGOSTO";"SEPTIEMBRE";"OCTUBRE";"NOVIEMBRE";"DICIEMBRE"}, 0), BC191)</f>
        <v>45736</v>
      </c>
      <c r="BC191" s="2">
        <v>20</v>
      </c>
      <c r="BD191" s="2" t="s">
        <v>104</v>
      </c>
      <c r="BE191" s="2">
        <v>2025</v>
      </c>
      <c r="BF191" s="2"/>
      <c r="BG191" s="2">
        <v>3</v>
      </c>
      <c r="BH191" s="2">
        <v>2</v>
      </c>
      <c r="BI191" s="2" t="s">
        <v>1</v>
      </c>
      <c r="BJ191" s="2" t="s">
        <v>0</v>
      </c>
      <c r="BK191" s="2"/>
      <c r="BL191" s="2"/>
    </row>
    <row r="192" spans="1:64" ht="18.75" x14ac:dyDescent="0.25">
      <c r="A192" s="2">
        <v>191</v>
      </c>
      <c r="B192" s="2" t="str">
        <f t="shared" si="4"/>
        <v>ADN-P-191</v>
      </c>
      <c r="C192" s="2" t="s">
        <v>19</v>
      </c>
      <c r="D192" s="2" t="s">
        <v>111</v>
      </c>
      <c r="E192" s="2" t="s">
        <v>110</v>
      </c>
      <c r="F192" s="2" t="s">
        <v>109</v>
      </c>
      <c r="G192" s="2" t="s">
        <v>108</v>
      </c>
      <c r="H192" s="2" t="s">
        <v>107</v>
      </c>
      <c r="I192" s="2" t="s">
        <v>106</v>
      </c>
      <c r="J192" s="2" t="s">
        <v>105</v>
      </c>
      <c r="K192" s="2">
        <v>1404.06</v>
      </c>
      <c r="L192" s="2">
        <v>222.13</v>
      </c>
      <c r="M192" s="2">
        <v>444.26</v>
      </c>
      <c r="N192" s="2">
        <v>2703</v>
      </c>
      <c r="O192" s="2">
        <v>3203</v>
      </c>
      <c r="P192" s="2">
        <f t="shared" si="5"/>
        <v>5906</v>
      </c>
      <c r="Q192" s="2" t="s">
        <v>86</v>
      </c>
      <c r="R192" s="2">
        <v>1</v>
      </c>
      <c r="S192" s="2">
        <v>1</v>
      </c>
      <c r="T192" s="2">
        <v>3</v>
      </c>
      <c r="U192" s="2">
        <v>0</v>
      </c>
      <c r="V192" s="2">
        <v>0</v>
      </c>
      <c r="W192" s="2">
        <v>17</v>
      </c>
      <c r="X192" s="2">
        <v>7</v>
      </c>
      <c r="Y192" s="2">
        <v>0</v>
      </c>
      <c r="Z192" s="2">
        <v>3</v>
      </c>
      <c r="AA192" s="2">
        <v>0</v>
      </c>
      <c r="AB192" s="2">
        <v>0</v>
      </c>
      <c r="AC192" s="2">
        <v>0</v>
      </c>
      <c r="AD192" s="2">
        <v>0</v>
      </c>
      <c r="AE192" s="2">
        <v>3</v>
      </c>
      <c r="AF192" s="2">
        <v>5</v>
      </c>
      <c r="AG192" s="2">
        <v>110</v>
      </c>
      <c r="AH192" s="2">
        <v>0</v>
      </c>
      <c r="AI192" s="2">
        <v>0</v>
      </c>
      <c r="AJ192" s="2">
        <v>4</v>
      </c>
      <c r="AK192" s="2">
        <v>0</v>
      </c>
      <c r="AL192" s="2">
        <v>1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3">
        <f>DATE(BE192, MATCH(TRIM(BD192), {"ENERO";"FEBRERO";"MARZO";"ABRIL";"MAYO";"JUNIO";"JULIO";"AGOSTO";"SEPTIEMBRE";"OCTUBRE";"NOVIEMBRE";"DICIEMBRE"}, 0), BC192)</f>
        <v>45741</v>
      </c>
      <c r="BC192" s="2">
        <v>25</v>
      </c>
      <c r="BD192" s="2" t="s">
        <v>104</v>
      </c>
      <c r="BE192" s="2">
        <v>2025</v>
      </c>
      <c r="BF192" s="2"/>
      <c r="BG192" s="2">
        <v>1</v>
      </c>
      <c r="BH192" s="2">
        <v>1</v>
      </c>
      <c r="BI192" s="2" t="s">
        <v>1</v>
      </c>
      <c r="BJ192" s="2" t="s">
        <v>0</v>
      </c>
      <c r="BK192" s="2"/>
      <c r="BL192" s="2"/>
    </row>
    <row r="193" spans="1:64" ht="18.75" x14ac:dyDescent="0.25">
      <c r="A193" s="2">
        <v>192</v>
      </c>
      <c r="B193" s="2" t="str">
        <f t="shared" si="4"/>
        <v>ADN-P-192</v>
      </c>
      <c r="C193" s="2" t="s">
        <v>19</v>
      </c>
      <c r="D193" s="2" t="s">
        <v>47</v>
      </c>
      <c r="E193" s="2" t="s">
        <v>103</v>
      </c>
      <c r="F193" s="2" t="s">
        <v>45</v>
      </c>
      <c r="G193" s="2" t="s">
        <v>102</v>
      </c>
      <c r="H193" s="2" t="s">
        <v>101</v>
      </c>
      <c r="I193" s="2" t="s">
        <v>100</v>
      </c>
      <c r="J193" s="2" t="s">
        <v>42</v>
      </c>
      <c r="K193" s="2">
        <v>59.08</v>
      </c>
      <c r="L193" s="2">
        <v>8.6300000000000008</v>
      </c>
      <c r="M193" s="2">
        <v>17.260000000000002</v>
      </c>
      <c r="N193" s="2">
        <v>13131</v>
      </c>
      <c r="O193" s="2">
        <v>15438</v>
      </c>
      <c r="P193" s="2">
        <f t="shared" si="5"/>
        <v>28569</v>
      </c>
      <c r="Q193" s="2" t="s">
        <v>58</v>
      </c>
      <c r="R193" s="2">
        <v>0</v>
      </c>
      <c r="S193" s="2">
        <v>1</v>
      </c>
      <c r="T193" s="2">
        <v>2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  <c r="Z193" s="2">
        <v>1</v>
      </c>
      <c r="AA193" s="2">
        <v>0</v>
      </c>
      <c r="AB193" s="2">
        <v>0</v>
      </c>
      <c r="AC193" s="2">
        <v>0</v>
      </c>
      <c r="AD193" s="2">
        <v>0</v>
      </c>
      <c r="AE193" s="2">
        <v>4</v>
      </c>
      <c r="AF193" s="2">
        <v>13</v>
      </c>
      <c r="AG193" s="2">
        <v>24.1</v>
      </c>
      <c r="AH193" s="2">
        <v>0</v>
      </c>
      <c r="AI193" s="2">
        <v>0</v>
      </c>
      <c r="AJ193" s="2">
        <v>0</v>
      </c>
      <c r="AK193" s="2">
        <v>0</v>
      </c>
      <c r="AL193" s="2">
        <v>2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3">
        <f>DATE(BE193, MATCH(TRIM(BD193), {"ENERO";"FEBRERO";"MARZO";"ABRIL";"MAYO";"JUNIO";"JULIO";"AGOSTO";"SEPTIEMBRE";"OCTUBRE";"NOVIEMBRE";"DICIEMBRE"}, 0), BC193)</f>
        <v>45754</v>
      </c>
      <c r="BC193" s="2">
        <v>7</v>
      </c>
      <c r="BD193" s="2" t="s">
        <v>93</v>
      </c>
      <c r="BE193" s="2">
        <v>2025</v>
      </c>
      <c r="BF193" s="2"/>
      <c r="BG193" s="2">
        <v>1</v>
      </c>
      <c r="BH193" s="2">
        <v>2</v>
      </c>
      <c r="BI193" s="2" t="s">
        <v>1</v>
      </c>
      <c r="BJ193" s="2" t="s">
        <v>0</v>
      </c>
      <c r="BK193" s="2"/>
      <c r="BL193" s="2"/>
    </row>
    <row r="194" spans="1:64" ht="18.75" x14ac:dyDescent="0.25">
      <c r="A194" s="2">
        <v>193</v>
      </c>
      <c r="B194" s="2" t="str">
        <f t="shared" ref="B194:B257" si="6">CONCATENATE("ADN-P-",A194)</f>
        <v>ADN-P-193</v>
      </c>
      <c r="C194" s="2" t="s">
        <v>19</v>
      </c>
      <c r="D194" s="2" t="s">
        <v>32</v>
      </c>
      <c r="E194" s="2" t="s">
        <v>99</v>
      </c>
      <c r="F194" s="2" t="s">
        <v>98</v>
      </c>
      <c r="G194" s="2" t="s">
        <v>97</v>
      </c>
      <c r="H194" s="2" t="s">
        <v>96</v>
      </c>
      <c r="I194" s="2" t="s">
        <v>95</v>
      </c>
      <c r="J194" s="2" t="s">
        <v>94</v>
      </c>
      <c r="K194" s="2">
        <v>1145.79</v>
      </c>
      <c r="L194" s="2">
        <v>280.67</v>
      </c>
      <c r="M194" s="2">
        <f t="shared" ref="M194:M199" si="7">L194*2</f>
        <v>561.34</v>
      </c>
      <c r="N194" s="2">
        <v>6295</v>
      </c>
      <c r="O194" s="2">
        <v>7445</v>
      </c>
      <c r="P194" s="2">
        <f t="shared" ref="P194:P257" si="8">SUM(N194:O194)</f>
        <v>13740</v>
      </c>
      <c r="Q194" s="2" t="s">
        <v>86</v>
      </c>
      <c r="R194" s="2">
        <v>1</v>
      </c>
      <c r="S194" s="2">
        <v>1</v>
      </c>
      <c r="T194" s="2">
        <v>5</v>
      </c>
      <c r="U194" s="2">
        <v>0</v>
      </c>
      <c r="V194" s="2">
        <v>0</v>
      </c>
      <c r="W194" s="2">
        <v>18</v>
      </c>
      <c r="X194" s="2">
        <v>7</v>
      </c>
      <c r="Y194" s="2">
        <v>0</v>
      </c>
      <c r="Z194" s="2">
        <v>3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50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2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3">
        <f>DATE(BE194, MATCH(TRIM(BD194), {"ENERO";"FEBRERO";"MARZO";"ABRIL";"MAYO";"JUNIO";"JULIO";"AGOSTO";"SEPTIEMBRE";"OCTUBRE";"NOVIEMBRE";"DICIEMBRE"}, 0), BC194)</f>
        <v>45754</v>
      </c>
      <c r="BC194" s="2">
        <v>7</v>
      </c>
      <c r="BD194" s="2" t="s">
        <v>93</v>
      </c>
      <c r="BE194" s="2">
        <v>2025</v>
      </c>
      <c r="BF194" s="2"/>
      <c r="BG194" s="2">
        <v>1</v>
      </c>
      <c r="BH194" s="2">
        <v>1</v>
      </c>
      <c r="BI194" s="2" t="s">
        <v>1</v>
      </c>
      <c r="BJ194" s="2" t="s">
        <v>0</v>
      </c>
      <c r="BK194" s="2"/>
      <c r="BL194" s="2"/>
    </row>
    <row r="195" spans="1:64" ht="18.75" x14ac:dyDescent="0.25">
      <c r="A195" s="2">
        <v>194</v>
      </c>
      <c r="B195" s="2" t="str">
        <f t="shared" si="6"/>
        <v>ADN-P-194</v>
      </c>
      <c r="C195" s="2" t="s">
        <v>19</v>
      </c>
      <c r="D195" s="2" t="s">
        <v>25</v>
      </c>
      <c r="E195" s="2" t="s">
        <v>92</v>
      </c>
      <c r="F195" s="2" t="s">
        <v>91</v>
      </c>
      <c r="G195" s="2" t="s">
        <v>90</v>
      </c>
      <c r="H195" s="2" t="s">
        <v>89</v>
      </c>
      <c r="I195" s="2" t="s">
        <v>88</v>
      </c>
      <c r="J195" s="2" t="s">
        <v>80</v>
      </c>
      <c r="K195" s="2" t="s">
        <v>87</v>
      </c>
      <c r="L195" s="2"/>
      <c r="M195" s="2">
        <f t="shared" si="7"/>
        <v>0</v>
      </c>
      <c r="N195" s="2">
        <v>3488</v>
      </c>
      <c r="O195" s="2">
        <v>4531</v>
      </c>
      <c r="P195" s="2">
        <f t="shared" si="8"/>
        <v>8019</v>
      </c>
      <c r="Q195" s="2" t="s">
        <v>86</v>
      </c>
      <c r="R195" s="2">
        <v>1</v>
      </c>
      <c r="S195" s="2">
        <v>1</v>
      </c>
      <c r="T195" s="2">
        <v>2</v>
      </c>
      <c r="U195" s="2">
        <v>0</v>
      </c>
      <c r="V195" s="2">
        <v>0</v>
      </c>
      <c r="W195" s="2">
        <v>20</v>
      </c>
      <c r="X195" s="2">
        <v>8</v>
      </c>
      <c r="Y195" s="2">
        <v>0</v>
      </c>
      <c r="Z195" s="2">
        <v>2</v>
      </c>
      <c r="AA195" s="2">
        <v>5</v>
      </c>
      <c r="AB195" s="2">
        <v>0</v>
      </c>
      <c r="AC195" s="2">
        <v>2</v>
      </c>
      <c r="AD195" s="2">
        <v>0</v>
      </c>
      <c r="AE195" s="2">
        <v>4</v>
      </c>
      <c r="AF195" s="2">
        <v>8</v>
      </c>
      <c r="AG195" s="2">
        <v>0</v>
      </c>
      <c r="AH195" s="2">
        <v>0</v>
      </c>
      <c r="AI195" s="2">
        <v>0</v>
      </c>
      <c r="AJ195" s="2">
        <v>2</v>
      </c>
      <c r="AK195" s="2">
        <v>0</v>
      </c>
      <c r="AL195" s="2">
        <v>1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3">
        <f>DATE(BE195, MATCH(TRIM(BD195), {"ENERO";"FEBRERO";"MARZO";"ABRIL";"MAYO";"JUNIO";"JULIO";"AGOSTO";"SEPTIEMBRE";"OCTUBRE";"NOVIEMBRE";"DICIEMBRE"}, 0), BC195)</f>
        <v>45806</v>
      </c>
      <c r="BC195" s="2">
        <v>29</v>
      </c>
      <c r="BD195" s="2" t="s">
        <v>79</v>
      </c>
      <c r="BE195" s="2">
        <v>2025</v>
      </c>
      <c r="BF195" s="2"/>
      <c r="BG195" s="2">
        <v>1</v>
      </c>
      <c r="BH195" s="2">
        <v>1</v>
      </c>
      <c r="BI195" s="2" t="s">
        <v>1</v>
      </c>
      <c r="BJ195" s="2" t="s">
        <v>0</v>
      </c>
      <c r="BK195" s="2"/>
      <c r="BL195" s="2"/>
    </row>
    <row r="196" spans="1:64" ht="18.75" x14ac:dyDescent="0.25">
      <c r="A196" s="2">
        <v>195</v>
      </c>
      <c r="B196" s="2" t="str">
        <f t="shared" si="6"/>
        <v>ADN-P-195</v>
      </c>
      <c r="C196" s="2" t="s">
        <v>19</v>
      </c>
      <c r="D196" s="2" t="s">
        <v>25</v>
      </c>
      <c r="E196" s="2" t="s">
        <v>85</v>
      </c>
      <c r="F196" s="2" t="s">
        <v>84</v>
      </c>
      <c r="G196" s="2" t="s">
        <v>83</v>
      </c>
      <c r="H196" s="2" t="s">
        <v>82</v>
      </c>
      <c r="I196" s="2" t="s">
        <v>81</v>
      </c>
      <c r="J196" s="2" t="s">
        <v>80</v>
      </c>
      <c r="K196" s="2">
        <v>452.82</v>
      </c>
      <c r="L196" s="2">
        <v>75.930000000000007</v>
      </c>
      <c r="M196" s="2">
        <f t="shared" si="7"/>
        <v>151.86000000000001</v>
      </c>
      <c r="N196" s="2">
        <v>3488</v>
      </c>
      <c r="O196" s="2">
        <v>4531</v>
      </c>
      <c r="P196" s="2">
        <f t="shared" si="8"/>
        <v>8019</v>
      </c>
      <c r="Q196" s="2" t="s">
        <v>58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19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5</v>
      </c>
      <c r="AF196" s="2">
        <v>0</v>
      </c>
      <c r="AG196" s="2">
        <v>226.14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3">
        <f>DATE(BE196, MATCH(TRIM(BD196), {"ENERO";"FEBRERO";"MARZO";"ABRIL";"MAYO";"JUNIO";"JULIO";"AGOSTO";"SEPTIEMBRE";"OCTUBRE";"NOVIEMBRE";"DICIEMBRE"}, 0), BC196)</f>
        <v>45806</v>
      </c>
      <c r="BC196" s="2">
        <v>29</v>
      </c>
      <c r="BD196" s="2" t="s">
        <v>79</v>
      </c>
      <c r="BE196" s="2">
        <v>2025</v>
      </c>
      <c r="BF196" s="2"/>
      <c r="BG196" s="2">
        <v>1</v>
      </c>
      <c r="BH196" s="2">
        <v>2</v>
      </c>
      <c r="BI196" s="2" t="s">
        <v>1</v>
      </c>
      <c r="BJ196" s="2" t="s">
        <v>0</v>
      </c>
      <c r="BK196" s="2"/>
      <c r="BL196" s="2"/>
    </row>
    <row r="197" spans="1:64" ht="18.75" x14ac:dyDescent="0.25">
      <c r="A197" s="2">
        <v>196</v>
      </c>
      <c r="B197" s="2" t="str">
        <f t="shared" si="6"/>
        <v>ADN-P-196</v>
      </c>
      <c r="C197" s="2" t="s">
        <v>9</v>
      </c>
      <c r="D197" s="2" t="s">
        <v>78</v>
      </c>
      <c r="E197" s="2" t="s">
        <v>77</v>
      </c>
      <c r="F197" s="2" t="s">
        <v>76</v>
      </c>
      <c r="G197" s="2" t="s">
        <v>75</v>
      </c>
      <c r="H197" s="2" t="s">
        <v>74</v>
      </c>
      <c r="I197" s="2" t="s">
        <v>73</v>
      </c>
      <c r="J197" s="2" t="s">
        <v>72</v>
      </c>
      <c r="K197" s="5">
        <v>1900</v>
      </c>
      <c r="L197" s="2">
        <v>205.1</v>
      </c>
      <c r="M197" s="2">
        <f t="shared" si="7"/>
        <v>410.2</v>
      </c>
      <c r="N197" s="2">
        <v>7504</v>
      </c>
      <c r="O197" s="2">
        <v>8128</v>
      </c>
      <c r="P197" s="2">
        <f t="shared" si="8"/>
        <v>15632</v>
      </c>
      <c r="Q197" s="2" t="s">
        <v>10</v>
      </c>
      <c r="R197" s="2">
        <v>1</v>
      </c>
      <c r="S197" s="2">
        <v>1</v>
      </c>
      <c r="T197" s="2">
        <v>2</v>
      </c>
      <c r="U197" s="2">
        <v>0</v>
      </c>
      <c r="V197" s="2">
        <v>0</v>
      </c>
      <c r="W197" s="2">
        <v>30</v>
      </c>
      <c r="X197" s="2">
        <v>5</v>
      </c>
      <c r="Y197" s="2">
        <v>0</v>
      </c>
      <c r="Z197" s="2">
        <v>3</v>
      </c>
      <c r="AA197" s="2">
        <v>0</v>
      </c>
      <c r="AB197" s="2">
        <v>5</v>
      </c>
      <c r="AC197" s="2">
        <v>0</v>
      </c>
      <c r="AD197" s="2">
        <v>1</v>
      </c>
      <c r="AE197" s="2">
        <v>70</v>
      </c>
      <c r="AF197" s="2">
        <v>10</v>
      </c>
      <c r="AG197" s="2">
        <v>700</v>
      </c>
      <c r="AH197" s="2">
        <v>0</v>
      </c>
      <c r="AI197" s="2">
        <v>1</v>
      </c>
      <c r="AJ197" s="2">
        <v>0</v>
      </c>
      <c r="AK197" s="2">
        <v>0</v>
      </c>
      <c r="AL197" s="2">
        <v>1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3">
        <f>DATE(BE197, MATCH(TRIM(BD197), {"ENERO";"FEBRERO";"MARZO";"ABRIL";"MAYO";"JUNIO";"JULIO";"AGOSTO";"SEPTIEMBRE";"OCTUBRE";"NOVIEMBRE";"DICIEMBRE"}, 0), BC197)</f>
        <v>45834</v>
      </c>
      <c r="BC197" s="2">
        <v>26</v>
      </c>
      <c r="BD197" s="2" t="s">
        <v>71</v>
      </c>
      <c r="BE197" s="2">
        <v>2025</v>
      </c>
      <c r="BF197" s="2"/>
      <c r="BG197" s="2">
        <v>2</v>
      </c>
      <c r="BH197" s="2">
        <v>1</v>
      </c>
      <c r="BI197" s="2" t="s">
        <v>1</v>
      </c>
      <c r="BJ197" s="2" t="s">
        <v>0</v>
      </c>
      <c r="BK197" s="2"/>
      <c r="BL197" s="2"/>
    </row>
    <row r="198" spans="1:64" ht="18.75" x14ac:dyDescent="0.25">
      <c r="A198" s="2">
        <v>197</v>
      </c>
      <c r="B198" s="2" t="str">
        <f t="shared" si="6"/>
        <v>ADN-P-197</v>
      </c>
      <c r="C198" s="2" t="s">
        <v>19</v>
      </c>
      <c r="D198" s="2" t="s">
        <v>25</v>
      </c>
      <c r="E198" s="2" t="s">
        <v>70</v>
      </c>
      <c r="F198" s="2" t="s">
        <v>69</v>
      </c>
      <c r="G198" s="2" t="s">
        <v>68</v>
      </c>
      <c r="H198" s="2" t="s">
        <v>67</v>
      </c>
      <c r="I198" s="2" t="s">
        <v>66</v>
      </c>
      <c r="J198" s="2" t="s">
        <v>65</v>
      </c>
      <c r="K198" s="2">
        <v>7260</v>
      </c>
      <c r="L198" s="2">
        <v>300.07</v>
      </c>
      <c r="M198" s="2">
        <f t="shared" si="7"/>
        <v>600.14</v>
      </c>
      <c r="N198" s="2">
        <v>2650</v>
      </c>
      <c r="O198" s="2">
        <v>3045</v>
      </c>
      <c r="P198" s="2">
        <f t="shared" si="8"/>
        <v>5695</v>
      </c>
      <c r="Q198" s="2" t="s">
        <v>10</v>
      </c>
      <c r="R198" s="2">
        <v>2</v>
      </c>
      <c r="S198" s="2">
        <v>1</v>
      </c>
      <c r="T198" s="2">
        <v>4</v>
      </c>
      <c r="U198" s="2">
        <v>0</v>
      </c>
      <c r="V198" s="2">
        <v>0</v>
      </c>
      <c r="W198" s="2">
        <v>67</v>
      </c>
      <c r="X198" s="2">
        <v>14</v>
      </c>
      <c r="Y198" s="2">
        <v>0</v>
      </c>
      <c r="Z198" s="2">
        <v>2</v>
      </c>
      <c r="AA198" s="2">
        <v>4</v>
      </c>
      <c r="AB198" s="2">
        <v>6</v>
      </c>
      <c r="AC198" s="2">
        <v>1</v>
      </c>
      <c r="AD198" s="2">
        <v>0</v>
      </c>
      <c r="AE198" s="2">
        <v>55</v>
      </c>
      <c r="AF198" s="2">
        <v>20</v>
      </c>
      <c r="AG198" s="2">
        <v>6500</v>
      </c>
      <c r="AH198" s="2">
        <v>0</v>
      </c>
      <c r="AI198" s="2">
        <v>0</v>
      </c>
      <c r="AJ198" s="2">
        <v>2</v>
      </c>
      <c r="AK198" s="2">
        <v>0</v>
      </c>
      <c r="AL198" s="2">
        <v>3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3">
        <f>DATE(BE198, MATCH(TRIM(BD198), {"ENERO";"FEBRERO";"MARZO";"ABRIL";"MAYO";"JUNIO";"JULIO";"AGOSTO";"SEPTIEMBRE";"OCTUBRE";"NOVIEMBRE";"DICIEMBRE"}, 0), BC198)</f>
        <v>45855</v>
      </c>
      <c r="BC198" s="2">
        <v>17</v>
      </c>
      <c r="BD198" s="2" t="s">
        <v>57</v>
      </c>
      <c r="BE198" s="2">
        <v>2025</v>
      </c>
      <c r="BF198" s="2"/>
      <c r="BG198" s="2">
        <v>1</v>
      </c>
      <c r="BH198" s="2">
        <v>1</v>
      </c>
      <c r="BI198" s="2" t="s">
        <v>1</v>
      </c>
      <c r="BJ198" s="2" t="s">
        <v>0</v>
      </c>
      <c r="BK198" s="2"/>
      <c r="BL198" s="2"/>
    </row>
    <row r="199" spans="1:64" ht="18.75" x14ac:dyDescent="0.25">
      <c r="A199" s="2">
        <v>198</v>
      </c>
      <c r="B199" s="2" t="str">
        <f t="shared" si="6"/>
        <v>ADN-P-198</v>
      </c>
      <c r="C199" s="2" t="s">
        <v>19</v>
      </c>
      <c r="D199" s="2" t="s">
        <v>47</v>
      </c>
      <c r="E199" s="2" t="s">
        <v>64</v>
      </c>
      <c r="F199" s="2" t="s">
        <v>63</v>
      </c>
      <c r="G199" s="2" t="s">
        <v>62</v>
      </c>
      <c r="H199" s="2" t="s">
        <v>61</v>
      </c>
      <c r="I199" s="2" t="s">
        <v>60</v>
      </c>
      <c r="J199" s="2" t="s">
        <v>59</v>
      </c>
      <c r="K199" s="2">
        <v>175</v>
      </c>
      <c r="L199" s="2">
        <v>30</v>
      </c>
      <c r="M199" s="2">
        <f t="shared" si="7"/>
        <v>60</v>
      </c>
      <c r="N199" s="2">
        <v>3190</v>
      </c>
      <c r="O199" s="2">
        <v>3858</v>
      </c>
      <c r="P199" s="2">
        <f t="shared" si="8"/>
        <v>7048</v>
      </c>
      <c r="Q199" s="2" t="s">
        <v>58</v>
      </c>
      <c r="R199" s="2">
        <v>0</v>
      </c>
      <c r="S199" s="2">
        <v>1</v>
      </c>
      <c r="T199" s="2">
        <v>0</v>
      </c>
      <c r="U199" s="2">
        <v>0</v>
      </c>
      <c r="V199" s="2">
        <v>0</v>
      </c>
      <c r="W199" s="2">
        <v>3</v>
      </c>
      <c r="X199" s="2">
        <v>0</v>
      </c>
      <c r="Y199" s="2">
        <v>0</v>
      </c>
      <c r="Z199" s="2">
        <v>2</v>
      </c>
      <c r="AA199" s="2">
        <v>0</v>
      </c>
      <c r="AB199" s="2">
        <v>0</v>
      </c>
      <c r="AC199" s="2">
        <v>0</v>
      </c>
      <c r="AD199" s="2">
        <v>0</v>
      </c>
      <c r="AE199" s="2">
        <v>4</v>
      </c>
      <c r="AF199" s="2">
        <v>20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1</v>
      </c>
      <c r="AX199" s="2">
        <v>0</v>
      </c>
      <c r="AY199" s="2">
        <v>0</v>
      </c>
      <c r="AZ199" s="2">
        <v>0</v>
      </c>
      <c r="BA199" s="2">
        <v>0</v>
      </c>
      <c r="BB199" s="3">
        <f>DATE(BE199, MATCH(TRIM(BD199), {"ENERO";"FEBRERO";"MARZO";"ABRIL";"MAYO";"JUNIO";"JULIO";"AGOSTO";"SEPTIEMBRE";"OCTUBRE";"NOVIEMBRE";"DICIEMBRE"}, 0), BC199)</f>
        <v>45856</v>
      </c>
      <c r="BC199" s="2">
        <v>18</v>
      </c>
      <c r="BD199" s="2" t="s">
        <v>57</v>
      </c>
      <c r="BE199" s="2">
        <v>2025</v>
      </c>
      <c r="BF199" s="2"/>
      <c r="BG199" s="2">
        <v>1</v>
      </c>
      <c r="BH199" s="2">
        <v>2</v>
      </c>
      <c r="BI199" s="2" t="s">
        <v>1</v>
      </c>
      <c r="BJ199" s="2" t="s">
        <v>0</v>
      </c>
      <c r="BK199" s="2"/>
      <c r="BL199" s="2"/>
    </row>
    <row r="200" spans="1:64" ht="18.75" x14ac:dyDescent="0.25">
      <c r="A200" s="2">
        <v>199</v>
      </c>
      <c r="B200" s="2" t="str">
        <f t="shared" si="6"/>
        <v>ADN-P-199</v>
      </c>
      <c r="C200" s="2" t="s">
        <v>19</v>
      </c>
      <c r="D200" s="2" t="s">
        <v>47</v>
      </c>
      <c r="E200" s="2" t="s">
        <v>56</v>
      </c>
      <c r="F200" s="2" t="s">
        <v>55</v>
      </c>
      <c r="G200" s="2" t="s">
        <v>54</v>
      </c>
      <c r="H200" s="2" t="s">
        <v>53</v>
      </c>
      <c r="I200" s="2" t="s">
        <v>52</v>
      </c>
      <c r="J200" s="2" t="s">
        <v>51</v>
      </c>
      <c r="K200" s="2">
        <v>860</v>
      </c>
      <c r="L200" s="2">
        <v>91.92</v>
      </c>
      <c r="M200" s="2">
        <v>183.84</v>
      </c>
      <c r="N200" s="2">
        <v>3180</v>
      </c>
      <c r="O200" s="2">
        <v>3432</v>
      </c>
      <c r="P200" s="2">
        <f t="shared" si="8"/>
        <v>6612</v>
      </c>
      <c r="Q200" s="2" t="s">
        <v>10</v>
      </c>
      <c r="R200" s="2">
        <v>1</v>
      </c>
      <c r="S200" s="2">
        <v>3</v>
      </c>
      <c r="T200" s="2">
        <v>4</v>
      </c>
      <c r="U200" s="2">
        <v>1</v>
      </c>
      <c r="V200" s="2">
        <v>0</v>
      </c>
      <c r="W200" s="2">
        <v>20</v>
      </c>
      <c r="X200" s="2">
        <v>10</v>
      </c>
      <c r="Y200" s="2">
        <v>1</v>
      </c>
      <c r="Z200" s="2">
        <v>3</v>
      </c>
      <c r="AA200" s="2">
        <v>6</v>
      </c>
      <c r="AB200" s="2">
        <v>0</v>
      </c>
      <c r="AC200" s="2">
        <v>0</v>
      </c>
      <c r="AD200" s="2">
        <v>0</v>
      </c>
      <c r="AE200" s="2">
        <v>18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1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1</v>
      </c>
      <c r="AX200" s="2">
        <v>0</v>
      </c>
      <c r="AY200" s="2">
        <v>0</v>
      </c>
      <c r="AZ200" s="2">
        <v>0</v>
      </c>
      <c r="BA200" s="2">
        <v>0</v>
      </c>
      <c r="BB200" s="3">
        <f>DATE(BE200, MATCH(TRIM(BD200), {"ENERO";"FEBRERO";"MARZO";"ABRIL";"MAYO";"JUNIO";"JULIO";"AGOSTO";"SEPTIEMBRE";"OCTUBRE";"NOVIEMBRE";"DICIEMBRE"}, 0), BC200)</f>
        <v>45890</v>
      </c>
      <c r="BC200" s="2">
        <v>21</v>
      </c>
      <c r="BD200" s="2" t="s">
        <v>50</v>
      </c>
      <c r="BE200" s="2">
        <v>2025</v>
      </c>
      <c r="BF200" s="2" t="s">
        <v>49</v>
      </c>
      <c r="BG200" s="2">
        <v>1</v>
      </c>
      <c r="BH200" s="2">
        <v>1</v>
      </c>
      <c r="BI200" s="2" t="s">
        <v>48</v>
      </c>
      <c r="BJ200" s="2" t="s">
        <v>0</v>
      </c>
      <c r="BK200" s="2"/>
      <c r="BL200" s="2"/>
    </row>
    <row r="201" spans="1:64" ht="18.75" x14ac:dyDescent="0.25">
      <c r="A201" s="2">
        <v>200</v>
      </c>
      <c r="B201" s="2" t="str">
        <f t="shared" si="6"/>
        <v>ADN-P-200</v>
      </c>
      <c r="C201" s="2" t="s">
        <v>19</v>
      </c>
      <c r="D201" s="2" t="s">
        <v>47</v>
      </c>
      <c r="E201" s="2" t="s">
        <v>46</v>
      </c>
      <c r="F201" s="2" t="s">
        <v>45</v>
      </c>
      <c r="G201" s="2" t="s">
        <v>44</v>
      </c>
      <c r="H201" s="2">
        <v>18.4368211</v>
      </c>
      <c r="I201" s="2" t="s">
        <v>43</v>
      </c>
      <c r="J201" s="2" t="s">
        <v>42</v>
      </c>
      <c r="K201" s="2">
        <v>2096.98</v>
      </c>
      <c r="L201" s="2">
        <v>112.62</v>
      </c>
      <c r="M201" s="2">
        <v>236.5</v>
      </c>
      <c r="N201" s="2">
        <v>13131</v>
      </c>
      <c r="O201" s="2">
        <v>15438</v>
      </c>
      <c r="P201" s="2">
        <f t="shared" si="8"/>
        <v>28569</v>
      </c>
      <c r="Q201" s="2" t="s">
        <v>10</v>
      </c>
      <c r="R201" s="2">
        <v>1</v>
      </c>
      <c r="S201" s="2">
        <v>2</v>
      </c>
      <c r="T201" s="2">
        <v>2</v>
      </c>
      <c r="U201" s="2">
        <v>0</v>
      </c>
      <c r="V201" s="2">
        <v>0</v>
      </c>
      <c r="W201" s="2">
        <v>22</v>
      </c>
      <c r="X201" s="2">
        <v>3</v>
      </c>
      <c r="Y201" s="2">
        <v>1</v>
      </c>
      <c r="Z201" s="2">
        <v>3</v>
      </c>
      <c r="AA201" s="2">
        <v>5</v>
      </c>
      <c r="AB201" s="2">
        <v>2</v>
      </c>
      <c r="AC201" s="2">
        <v>0</v>
      </c>
      <c r="AD201" s="2">
        <v>0</v>
      </c>
      <c r="AE201" s="2">
        <v>55</v>
      </c>
      <c r="AF201" s="2">
        <v>0</v>
      </c>
      <c r="AG201" s="2">
        <v>810.73</v>
      </c>
      <c r="AH201" s="2">
        <v>0</v>
      </c>
      <c r="AI201" s="2">
        <v>0</v>
      </c>
      <c r="AJ201" s="2">
        <v>2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3">
        <f>DATE(BE201, MATCH(TRIM(BD201), {"ENERO";"FEBRERO";"MARZO";"ABRIL";"MAYO";"JUNIO";"JULIO";"AGOSTO";"SEPTIEMBRE";"OCTUBRE";"NOVIEMBRE";"DICIEMBRE"}, 0), BC201)</f>
        <v>45904</v>
      </c>
      <c r="BC201" s="2">
        <v>4</v>
      </c>
      <c r="BD201" s="2" t="s">
        <v>33</v>
      </c>
      <c r="BE201" s="2">
        <v>2025</v>
      </c>
      <c r="BF201" s="2"/>
      <c r="BG201" s="2">
        <v>1</v>
      </c>
      <c r="BH201" s="2">
        <v>1</v>
      </c>
      <c r="BI201" s="2" t="s">
        <v>1</v>
      </c>
      <c r="BJ201" s="2" t="s">
        <v>0</v>
      </c>
      <c r="BK201" s="2"/>
      <c r="BL201" s="2"/>
    </row>
    <row r="202" spans="1:64" ht="18.75" x14ac:dyDescent="0.25">
      <c r="A202" s="2">
        <v>201</v>
      </c>
      <c r="B202" s="2" t="str">
        <f t="shared" si="6"/>
        <v>ADN-P-201</v>
      </c>
      <c r="C202" s="2" t="s">
        <v>9</v>
      </c>
      <c r="D202" s="2" t="s">
        <v>41</v>
      </c>
      <c r="E202" s="2" t="s">
        <v>40</v>
      </c>
      <c r="F202" s="2" t="s">
        <v>39</v>
      </c>
      <c r="G202" s="2" t="s">
        <v>38</v>
      </c>
      <c r="H202" s="2">
        <v>18.519970300000001</v>
      </c>
      <c r="I202" s="2" t="s">
        <v>37</v>
      </c>
      <c r="J202" s="2" t="s">
        <v>36</v>
      </c>
      <c r="K202" s="2" t="s">
        <v>35</v>
      </c>
      <c r="L202" s="2">
        <v>12</v>
      </c>
      <c r="M202" s="2">
        <f>L202*1.5</f>
        <v>18</v>
      </c>
      <c r="N202" s="2">
        <v>4121</v>
      </c>
      <c r="O202" s="2">
        <v>4290</v>
      </c>
      <c r="P202" s="2">
        <f t="shared" si="8"/>
        <v>8411</v>
      </c>
      <c r="Q202" s="2" t="s">
        <v>10</v>
      </c>
      <c r="R202" s="2">
        <v>1</v>
      </c>
      <c r="S202" s="2">
        <v>3</v>
      </c>
      <c r="T202" s="2">
        <v>1</v>
      </c>
      <c r="U202" s="2">
        <v>1</v>
      </c>
      <c r="V202" s="2">
        <v>0</v>
      </c>
      <c r="W202" s="2">
        <v>11</v>
      </c>
      <c r="X202" s="2">
        <v>4</v>
      </c>
      <c r="Y202" s="2">
        <v>0</v>
      </c>
      <c r="Z202" s="2">
        <v>2</v>
      </c>
      <c r="AA202" s="2">
        <v>4</v>
      </c>
      <c r="AB202" s="2">
        <v>2</v>
      </c>
      <c r="AC202" s="2">
        <v>2</v>
      </c>
      <c r="AD202" s="2">
        <v>0</v>
      </c>
      <c r="AE202" s="2">
        <v>11</v>
      </c>
      <c r="AF202" s="2">
        <v>0</v>
      </c>
      <c r="AG202" s="2" t="s">
        <v>34</v>
      </c>
      <c r="AH202" s="2">
        <v>0</v>
      </c>
      <c r="AI202" s="2">
        <v>4</v>
      </c>
      <c r="AJ202" s="2">
        <v>0</v>
      </c>
      <c r="AK202" s="2">
        <v>0</v>
      </c>
      <c r="AL202" s="2">
        <v>42</v>
      </c>
      <c r="AM202" s="2">
        <v>1</v>
      </c>
      <c r="AN202" s="2">
        <v>0</v>
      </c>
      <c r="AO202" s="2">
        <v>0</v>
      </c>
      <c r="AP202" s="2">
        <v>0</v>
      </c>
      <c r="AQ202" s="2">
        <v>2</v>
      </c>
      <c r="AR202" s="2">
        <v>0</v>
      </c>
      <c r="AS202" s="2">
        <v>0</v>
      </c>
      <c r="AT202" s="2">
        <v>0</v>
      </c>
      <c r="AU202" s="2">
        <v>1</v>
      </c>
      <c r="AV202" s="2">
        <v>1</v>
      </c>
      <c r="AW202" s="2">
        <v>3</v>
      </c>
      <c r="AX202" s="2">
        <v>0</v>
      </c>
      <c r="AY202" s="2">
        <v>0</v>
      </c>
      <c r="AZ202" s="2">
        <v>0</v>
      </c>
      <c r="BA202" s="2">
        <v>0</v>
      </c>
      <c r="BB202" s="3">
        <f>DATE(BE202, MATCH(TRIM(BD202), {"ENERO";"FEBRERO";"MARZO";"ABRIL";"MAYO";"JUNIO";"JULIO";"AGOSTO";"SEPTIEMBRE";"OCTUBRE";"NOVIEMBRE";"DICIEMBRE"}, 0), BC202)</f>
        <v>45917</v>
      </c>
      <c r="BC202" s="2">
        <v>17</v>
      </c>
      <c r="BD202" s="2" t="s">
        <v>33</v>
      </c>
      <c r="BE202" s="2">
        <v>2025</v>
      </c>
      <c r="BF202" s="2"/>
      <c r="BG202" s="2">
        <v>2</v>
      </c>
      <c r="BH202" s="2">
        <v>1</v>
      </c>
      <c r="BI202" s="2" t="s">
        <v>1</v>
      </c>
      <c r="BJ202" s="2" t="s">
        <v>0</v>
      </c>
      <c r="BK202" s="2"/>
      <c r="BL202" s="2"/>
    </row>
    <row r="203" spans="1:64" ht="18.75" x14ac:dyDescent="0.25">
      <c r="A203" s="2">
        <v>202</v>
      </c>
      <c r="B203" s="2" t="str">
        <f t="shared" si="6"/>
        <v>ADN-P-202</v>
      </c>
      <c r="C203" s="2" t="s">
        <v>9</v>
      </c>
      <c r="D203" s="2" t="s">
        <v>32</v>
      </c>
      <c r="E203" s="2" t="s">
        <v>31</v>
      </c>
      <c r="F203" s="2" t="s">
        <v>30</v>
      </c>
      <c r="G203" s="2" t="s">
        <v>29</v>
      </c>
      <c r="H203" s="2">
        <v>18.5014881</v>
      </c>
      <c r="I203" s="2" t="s">
        <v>28</v>
      </c>
      <c r="J203" s="2" t="s">
        <v>27</v>
      </c>
      <c r="K203" s="2">
        <v>6160</v>
      </c>
      <c r="L203" s="2">
        <v>0</v>
      </c>
      <c r="M203" s="2">
        <v>0</v>
      </c>
      <c r="N203" s="2">
        <v>20277</v>
      </c>
      <c r="O203" s="2">
        <v>23099</v>
      </c>
      <c r="P203" s="2">
        <f t="shared" si="8"/>
        <v>43376</v>
      </c>
      <c r="Q203" s="2" t="s">
        <v>10</v>
      </c>
      <c r="R203" s="2">
        <v>1</v>
      </c>
      <c r="S203" s="2">
        <v>1</v>
      </c>
      <c r="T203" s="2">
        <v>0</v>
      </c>
      <c r="U203" s="2">
        <v>1</v>
      </c>
      <c r="V203" s="2">
        <v>0</v>
      </c>
      <c r="W203" s="2">
        <v>34</v>
      </c>
      <c r="X203" s="2">
        <v>6</v>
      </c>
      <c r="Y203" s="2">
        <v>0</v>
      </c>
      <c r="Z203" s="2">
        <v>2</v>
      </c>
      <c r="AA203" s="2">
        <v>4</v>
      </c>
      <c r="AB203" s="2">
        <v>0</v>
      </c>
      <c r="AC203" s="2">
        <v>1</v>
      </c>
      <c r="AD203" s="2">
        <v>8</v>
      </c>
      <c r="AE203" s="2">
        <v>40</v>
      </c>
      <c r="AF203" s="2"/>
      <c r="AG203" s="2">
        <v>465</v>
      </c>
      <c r="AH203" s="2">
        <v>0</v>
      </c>
      <c r="AI203" s="2">
        <v>0</v>
      </c>
      <c r="AJ203" s="2">
        <v>0</v>
      </c>
      <c r="AK203" s="2">
        <v>0</v>
      </c>
      <c r="AL203" s="2">
        <v>3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1</v>
      </c>
      <c r="AW203" s="2">
        <v>0</v>
      </c>
      <c r="AX203" s="2">
        <v>0</v>
      </c>
      <c r="AY203" s="2">
        <v>166</v>
      </c>
      <c r="AZ203" s="2">
        <v>0</v>
      </c>
      <c r="BA203" s="2">
        <v>0</v>
      </c>
      <c r="BB203" s="3">
        <f>DATE(BE203, MATCH(TRIM(BD203), {"ENERO";"FEBRERO";"MARZO";"ABRIL";"MAYO";"JUNIO";"JULIO";"AGOSTO";"SEPTIEMBRE";"OCTUBRE";"NOVIEMBRE";"DICIEMBRE"}, 0), BC203)</f>
        <v>45931</v>
      </c>
      <c r="BC203" s="2">
        <v>1</v>
      </c>
      <c r="BD203" s="2" t="s">
        <v>26</v>
      </c>
      <c r="BE203" s="2">
        <v>2025</v>
      </c>
      <c r="BF203" s="2"/>
      <c r="BG203" s="2">
        <v>2</v>
      </c>
      <c r="BH203" s="2">
        <v>1</v>
      </c>
      <c r="BI203" s="2" t="s">
        <v>1</v>
      </c>
      <c r="BJ203" s="2" t="s">
        <v>0</v>
      </c>
      <c r="BK203" s="2"/>
      <c r="BL203" s="2"/>
    </row>
    <row r="204" spans="1:64" ht="18.75" x14ac:dyDescent="0.25">
      <c r="A204" s="2">
        <v>203</v>
      </c>
      <c r="B204" s="2" t="str">
        <f t="shared" si="6"/>
        <v>ADN-P-203</v>
      </c>
      <c r="C204" s="2" t="s">
        <v>19</v>
      </c>
      <c r="D204" s="2" t="s">
        <v>25</v>
      </c>
      <c r="E204" s="2" t="s">
        <v>24</v>
      </c>
      <c r="F204" s="2" t="s">
        <v>23</v>
      </c>
      <c r="G204" s="2" t="s">
        <v>22</v>
      </c>
      <c r="H204" s="2">
        <v>18.441064900000001</v>
      </c>
      <c r="I204" s="2">
        <v>-69.972614800000002</v>
      </c>
      <c r="J204" s="2" t="s">
        <v>21</v>
      </c>
      <c r="K204" s="2">
        <v>7138</v>
      </c>
      <c r="L204" s="2">
        <v>776.1</v>
      </c>
      <c r="M204" s="2">
        <v>1552.2</v>
      </c>
      <c r="N204" s="2">
        <v>2650</v>
      </c>
      <c r="O204" s="2">
        <v>3045</v>
      </c>
      <c r="P204" s="2">
        <f t="shared" si="8"/>
        <v>5695</v>
      </c>
      <c r="Q204" s="2" t="s">
        <v>10</v>
      </c>
      <c r="R204" s="2">
        <v>1</v>
      </c>
      <c r="S204" s="2">
        <v>6</v>
      </c>
      <c r="T204" s="2">
        <v>3</v>
      </c>
      <c r="U204" s="2">
        <v>0</v>
      </c>
      <c r="V204" s="2">
        <v>0</v>
      </c>
      <c r="W204" s="2">
        <v>81</v>
      </c>
      <c r="X204" s="2">
        <v>13</v>
      </c>
      <c r="Y204" s="2">
        <v>3</v>
      </c>
      <c r="Z204" s="2">
        <v>5</v>
      </c>
      <c r="AA204" s="2">
        <v>8</v>
      </c>
      <c r="AB204" s="2">
        <v>7</v>
      </c>
      <c r="AC204" s="2">
        <v>0</v>
      </c>
      <c r="AD204" s="2">
        <v>0</v>
      </c>
      <c r="AE204" s="2">
        <v>60</v>
      </c>
      <c r="AF204" s="2">
        <v>20</v>
      </c>
      <c r="AG204" s="2">
        <v>2000</v>
      </c>
      <c r="AH204" s="2">
        <v>0</v>
      </c>
      <c r="AI204" s="2">
        <v>1</v>
      </c>
      <c r="AJ204" s="2">
        <v>9</v>
      </c>
      <c r="AK204" s="2">
        <v>1</v>
      </c>
      <c r="AL204" s="2">
        <v>0</v>
      </c>
      <c r="AM204" s="2">
        <v>0</v>
      </c>
      <c r="AN204" s="2">
        <v>0</v>
      </c>
      <c r="AO204" s="2">
        <v>0</v>
      </c>
      <c r="AP204" s="2">
        <v>1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1</v>
      </c>
      <c r="AX204" s="2">
        <v>0</v>
      </c>
      <c r="AY204" s="2">
        <v>358</v>
      </c>
      <c r="AZ204" s="2">
        <v>0</v>
      </c>
      <c r="BA204" s="2">
        <v>0</v>
      </c>
      <c r="BB204" s="3">
        <f>DATE(BE204, MATCH(TRIM(BD204), {"ENERO";"FEBRERO";"MARZO";"ABRIL";"MAYO";"JUNIO";"JULIO";"AGOSTO";"SEPTIEMBRE";"OCTUBRE";"NOVIEMBRE";"DICIEMBRE"}, 0), BC204)</f>
        <v>45972</v>
      </c>
      <c r="BC204" s="2">
        <v>11</v>
      </c>
      <c r="BD204" s="2" t="s">
        <v>20</v>
      </c>
      <c r="BE204" s="2">
        <v>2025</v>
      </c>
      <c r="BF204" s="2"/>
      <c r="BG204" s="2">
        <v>1</v>
      </c>
      <c r="BH204" s="2">
        <v>1</v>
      </c>
      <c r="BI204" s="2" t="s">
        <v>1</v>
      </c>
      <c r="BJ204" s="2" t="s">
        <v>0</v>
      </c>
      <c r="BK204" s="2"/>
      <c r="BL204" s="2"/>
    </row>
    <row r="205" spans="1:64" ht="18.75" x14ac:dyDescent="0.25">
      <c r="A205" s="2">
        <v>204</v>
      </c>
      <c r="B205" s="2" t="str">
        <f t="shared" si="6"/>
        <v>ADN-P-204</v>
      </c>
      <c r="C205" s="2" t="s">
        <v>19</v>
      </c>
      <c r="D205" s="2" t="s">
        <v>18</v>
      </c>
      <c r="E205" s="2" t="s">
        <v>17</v>
      </c>
      <c r="F205" s="2" t="s">
        <v>16</v>
      </c>
      <c r="G205" s="2" t="s">
        <v>15</v>
      </c>
      <c r="H205" s="2">
        <v>18.473995500000001</v>
      </c>
      <c r="I205" s="2">
        <v>-69.966571599999995</v>
      </c>
      <c r="J205" s="2" t="s">
        <v>14</v>
      </c>
      <c r="K205" s="4">
        <v>5517.27</v>
      </c>
      <c r="L205" s="2">
        <v>227.21</v>
      </c>
      <c r="M205" s="2">
        <v>863.39</v>
      </c>
      <c r="N205" s="2">
        <v>3077</v>
      </c>
      <c r="O205" s="2">
        <v>3784</v>
      </c>
      <c r="P205" s="2">
        <f t="shared" si="8"/>
        <v>6861</v>
      </c>
      <c r="Q205" s="2" t="s">
        <v>10</v>
      </c>
      <c r="R205" s="2">
        <v>1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3">
        <f>DATE(BE205, MATCH(TRIM(BD205), {"ENERO";"FEBRERO";"MARZO";"ABRIL";"MAYO";"JUNIO";"JULIO";"AGOSTO";"SEPTIEMBRE";"OCTUBRE";"NOVIEMBRE";"DICIEMBRE"}, 0), BC205)</f>
        <v>45993</v>
      </c>
      <c r="BC205" s="2">
        <v>2</v>
      </c>
      <c r="BD205" s="2" t="s">
        <v>2</v>
      </c>
      <c r="BE205" s="2">
        <v>2025</v>
      </c>
      <c r="BF205" s="2"/>
      <c r="BG205" s="2">
        <v>1</v>
      </c>
      <c r="BH205" s="2">
        <v>1</v>
      </c>
      <c r="BI205" s="2" t="s">
        <v>1</v>
      </c>
      <c r="BJ205" s="2" t="s">
        <v>0</v>
      </c>
      <c r="BK205" s="2"/>
      <c r="BL205" s="2"/>
    </row>
    <row r="206" spans="1:64" ht="18.75" x14ac:dyDescent="0.25">
      <c r="A206" s="2">
        <v>205</v>
      </c>
      <c r="B206" s="2" t="str">
        <f t="shared" si="6"/>
        <v>ADN-P-205</v>
      </c>
      <c r="C206" s="2" t="s">
        <v>9</v>
      </c>
      <c r="D206" s="2" t="s">
        <v>8</v>
      </c>
      <c r="E206" s="2" t="s">
        <v>13</v>
      </c>
      <c r="F206" s="2" t="s">
        <v>12</v>
      </c>
      <c r="G206" s="2" t="s">
        <v>11</v>
      </c>
      <c r="H206" s="2">
        <v>18.507669</v>
      </c>
      <c r="I206" s="2">
        <v>-69.920387500000004</v>
      </c>
      <c r="J206" s="2" t="s">
        <v>4</v>
      </c>
      <c r="K206" s="2">
        <v>513.54</v>
      </c>
      <c r="L206" s="2">
        <v>47.9</v>
      </c>
      <c r="M206" s="2">
        <v>101.01</v>
      </c>
      <c r="N206" s="2">
        <v>1651</v>
      </c>
      <c r="O206" s="2">
        <v>1671</v>
      </c>
      <c r="P206" s="2">
        <f t="shared" si="8"/>
        <v>3322</v>
      </c>
      <c r="Q206" s="2" t="s">
        <v>10</v>
      </c>
      <c r="R206" s="2">
        <v>1</v>
      </c>
      <c r="S206" s="2">
        <v>1</v>
      </c>
      <c r="T206" s="2">
        <v>2</v>
      </c>
      <c r="U206" s="2">
        <v>0</v>
      </c>
      <c r="V206" s="2">
        <v>0</v>
      </c>
      <c r="W206" s="2">
        <v>11</v>
      </c>
      <c r="X206" s="2">
        <v>5</v>
      </c>
      <c r="Y206" s="2">
        <v>0</v>
      </c>
      <c r="Z206" s="2">
        <v>2</v>
      </c>
      <c r="AA206" s="2">
        <v>5</v>
      </c>
      <c r="AB206" s="2">
        <v>1</v>
      </c>
      <c r="AC206" s="2">
        <v>0</v>
      </c>
      <c r="AD206" s="2">
        <v>0</v>
      </c>
      <c r="AE206" s="2">
        <v>6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1</v>
      </c>
      <c r="AX206" s="2">
        <v>0</v>
      </c>
      <c r="AY206" s="2">
        <v>44.7</v>
      </c>
      <c r="AZ206" s="2">
        <v>0</v>
      </c>
      <c r="BA206" s="2">
        <v>0</v>
      </c>
      <c r="BB206" s="3">
        <f>DATE(BE206, MATCH(TRIM(BD206), {"ENERO";"FEBRERO";"MARZO";"ABRIL";"MAYO";"JUNIO";"JULIO";"AGOSTO";"SEPTIEMBRE";"OCTUBRE";"NOVIEMBRE";"DICIEMBRE"}, 0), BC206)</f>
        <v>46002</v>
      </c>
      <c r="BC206" s="2">
        <v>11</v>
      </c>
      <c r="BD206" s="2" t="s">
        <v>2</v>
      </c>
      <c r="BE206" s="2">
        <v>2025</v>
      </c>
      <c r="BF206" s="2"/>
      <c r="BG206" s="2">
        <v>2</v>
      </c>
      <c r="BH206" s="2">
        <v>1</v>
      </c>
      <c r="BI206" s="2" t="s">
        <v>1</v>
      </c>
      <c r="BJ206" s="2" t="s">
        <v>0</v>
      </c>
      <c r="BK206" s="2"/>
      <c r="BL206" s="2"/>
    </row>
    <row r="207" spans="1:64" ht="18.75" x14ac:dyDescent="0.25">
      <c r="A207" s="2">
        <v>206</v>
      </c>
      <c r="B207" s="2" t="str">
        <f t="shared" si="6"/>
        <v>ADN-P-206</v>
      </c>
      <c r="C207" s="2" t="s">
        <v>9</v>
      </c>
      <c r="D207" s="2" t="s">
        <v>8</v>
      </c>
      <c r="E207" s="2" t="s">
        <v>7</v>
      </c>
      <c r="F207" s="2" t="s">
        <v>6</v>
      </c>
      <c r="G207" s="2" t="s">
        <v>5</v>
      </c>
      <c r="H207" s="2">
        <v>18.507981300000001</v>
      </c>
      <c r="I207" s="2">
        <v>-69.920454000000007</v>
      </c>
      <c r="J207" s="2" t="s">
        <v>4</v>
      </c>
      <c r="K207" s="2">
        <v>1152.2</v>
      </c>
      <c r="L207" s="2">
        <v>31.4</v>
      </c>
      <c r="M207" s="2">
        <v>47.1</v>
      </c>
      <c r="N207" s="2">
        <v>1651</v>
      </c>
      <c r="O207" s="2">
        <v>1671</v>
      </c>
      <c r="P207" s="2">
        <f t="shared" si="8"/>
        <v>3322</v>
      </c>
      <c r="Q207" s="2" t="s">
        <v>3</v>
      </c>
      <c r="R207" s="2">
        <v>0</v>
      </c>
      <c r="S207" s="2">
        <v>0</v>
      </c>
      <c r="T207" s="2">
        <v>1</v>
      </c>
      <c r="U207" s="2">
        <v>0</v>
      </c>
      <c r="V207" s="2">
        <v>0</v>
      </c>
      <c r="W207" s="2">
        <v>8</v>
      </c>
      <c r="X207" s="2">
        <v>2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4</v>
      </c>
      <c r="AF207" s="2">
        <v>6</v>
      </c>
      <c r="AG207" s="2">
        <v>118.8</v>
      </c>
      <c r="AH207" s="2">
        <v>0</v>
      </c>
      <c r="AI207" s="2">
        <v>0</v>
      </c>
      <c r="AJ207" s="2">
        <v>0</v>
      </c>
      <c r="AK207" s="2">
        <v>0</v>
      </c>
      <c r="AL207" s="2">
        <v>1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1</v>
      </c>
      <c r="AX207" s="2">
        <v>0</v>
      </c>
      <c r="AY207" s="2">
        <v>0</v>
      </c>
      <c r="AZ207" s="2">
        <v>0</v>
      </c>
      <c r="BA207" s="2">
        <v>0</v>
      </c>
      <c r="BB207" s="3">
        <f>DATE(BE207, MATCH(TRIM(BD207), {"ENERO";"FEBRERO";"MARZO";"ABRIL";"MAYO";"JUNIO";"JULIO";"AGOSTO";"SEPTIEMBRE";"OCTUBRE";"NOVIEMBRE";"DICIEMBRE"}, 0), BC207)</f>
        <v>46002</v>
      </c>
      <c r="BC207" s="2">
        <v>11</v>
      </c>
      <c r="BD207" s="2" t="s">
        <v>2</v>
      </c>
      <c r="BE207" s="2">
        <v>2025</v>
      </c>
      <c r="BF207" s="2"/>
      <c r="BG207" s="2">
        <v>2</v>
      </c>
      <c r="BH207" s="2">
        <v>1</v>
      </c>
      <c r="BI207" s="2" t="s">
        <v>1</v>
      </c>
      <c r="BJ207" s="2" t="s">
        <v>0</v>
      </c>
      <c r="BK207" s="2"/>
      <c r="BL207" s="2"/>
    </row>
    <row r="210" spans="4:16" x14ac:dyDescent="0.25">
      <c r="P210" s="10">
        <f>SUBTOTAL(9,P2:P209)</f>
        <v>3045459</v>
      </c>
    </row>
    <row r="215" spans="4:16" x14ac:dyDescent="0.25">
      <c r="D215" s="1">
        <v>151</v>
      </c>
      <c r="E215" s="9">
        <f>+D215/$D$218</f>
        <v>0.73300970873786409</v>
      </c>
    </row>
    <row r="216" spans="4:16" x14ac:dyDescent="0.25">
      <c r="D216" s="1">
        <v>35</v>
      </c>
      <c r="E216" s="9">
        <f t="shared" ref="E216:E218" si="9">+D216/$D$218</f>
        <v>0.16990291262135923</v>
      </c>
    </row>
    <row r="217" spans="4:16" x14ac:dyDescent="0.25">
      <c r="D217" s="1">
        <v>20</v>
      </c>
      <c r="E217" s="9">
        <f t="shared" si="9"/>
        <v>9.7087378640776698E-2</v>
      </c>
    </row>
    <row r="218" spans="4:16" x14ac:dyDescent="0.25">
      <c r="D218" s="1">
        <f>SUBTOTAL(9,D215:D217)</f>
        <v>206</v>
      </c>
      <c r="E218" s="9">
        <f t="shared" si="9"/>
        <v>1</v>
      </c>
    </row>
  </sheetData>
  <autoFilter ref="A1:BL207" xr:uid="{00000000-0009-0000-0000-000000000000}"/>
  <hyperlinks>
    <hyperlink ref="G202" r:id="rId1" xr:uid="{00000000-0004-0000-0000-000000000000}"/>
    <hyperlink ref="G201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DEFINITIVO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Alcantara</dc:creator>
  <cp:lastModifiedBy>Francisco Faña</cp:lastModifiedBy>
  <dcterms:created xsi:type="dcterms:W3CDTF">2025-12-16T20:26:55Z</dcterms:created>
  <dcterms:modified xsi:type="dcterms:W3CDTF">2025-12-22T13:27:20Z</dcterms:modified>
</cp:coreProperties>
</file>